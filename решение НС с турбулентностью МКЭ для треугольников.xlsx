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ЭтаКнига" defaultThemeVersion="124226"/>
  <bookViews>
    <workbookView xWindow="240" yWindow="108" windowWidth="14808" windowHeight="8016" activeTab="4"/>
  </bookViews>
  <sheets>
    <sheet name="для 2 треугольников" sheetId="2" r:id="rId1"/>
    <sheet name="2 шаг " sheetId="7" r:id="rId2"/>
    <sheet name="3 шаг " sheetId="8" r:id="rId3"/>
    <sheet name="4 шаг " sheetId="9" r:id="rId4"/>
    <sheet name="5 шаг " sheetId="10" r:id="rId5"/>
  </sheets>
  <calcPr calcId="152511"/>
</workbook>
</file>

<file path=xl/calcChain.xml><?xml version="1.0" encoding="utf-8"?>
<calcChain xmlns="http://schemas.openxmlformats.org/spreadsheetml/2006/main">
  <c r="Q245" i="9" l="1"/>
  <c r="Q244" i="9"/>
  <c r="Q243" i="9"/>
  <c r="Q242" i="9"/>
  <c r="Q241" i="9"/>
  <c r="Q240" i="9"/>
  <c r="Q239" i="9"/>
  <c r="Q238" i="9"/>
  <c r="R238" i="9" s="1"/>
  <c r="Q245" i="8"/>
  <c r="Q244" i="8"/>
  <c r="Q243" i="8"/>
  <c r="Q242" i="8"/>
  <c r="Q241" i="8"/>
  <c r="Q240" i="8"/>
  <c r="Q239" i="8"/>
  <c r="R238" i="8"/>
  <c r="Q238" i="8"/>
  <c r="R238" i="7"/>
  <c r="Q239" i="7"/>
  <c r="Q240" i="7"/>
  <c r="Q241" i="7"/>
  <c r="Q242" i="7"/>
  <c r="Q243" i="7"/>
  <c r="Q244" i="7"/>
  <c r="Q245" i="7"/>
  <c r="Q238" i="7"/>
  <c r="P239" i="7"/>
  <c r="P240" i="7"/>
  <c r="P241" i="7"/>
  <c r="P242" i="7"/>
  <c r="P243" i="7"/>
  <c r="P244" i="7"/>
  <c r="P245" i="7"/>
  <c r="P238" i="7"/>
  <c r="P238" i="8"/>
  <c r="R238" i="10"/>
  <c r="Q239" i="10"/>
  <c r="Q240" i="10"/>
  <c r="Q241" i="10"/>
  <c r="Q242" i="10"/>
  <c r="Q243" i="10"/>
  <c r="Q244" i="10"/>
  <c r="Q245" i="10"/>
  <c r="Q238" i="10"/>
  <c r="J238" i="10" a="1"/>
  <c r="J245" i="10" s="1"/>
  <c r="J238" i="9" a="1"/>
  <c r="J238" i="9" s="1"/>
  <c r="N238" i="9" a="1"/>
  <c r="J238" i="8" a="1"/>
  <c r="J238" i="8" s="1"/>
  <c r="J238" i="7" a="1"/>
  <c r="J238" i="7" s="1"/>
  <c r="J238" i="2" a="1"/>
  <c r="J240" i="2" s="1"/>
  <c r="M226" i="2"/>
  <c r="M225" i="2"/>
  <c r="K224" i="2"/>
  <c r="N238" i="10" a="1"/>
  <c r="J241" i="10" l="1"/>
  <c r="J244" i="10"/>
  <c r="J240" i="10"/>
  <c r="J243" i="10"/>
  <c r="J239" i="10"/>
  <c r="J242" i="10"/>
  <c r="J238" i="10"/>
  <c r="J240" i="9"/>
  <c r="J243" i="9"/>
  <c r="J239" i="9"/>
  <c r="J245" i="9"/>
  <c r="J241" i="9"/>
  <c r="J244" i="9"/>
  <c r="J242" i="9"/>
  <c r="J245" i="8"/>
  <c r="J243" i="8"/>
  <c r="J239" i="8"/>
  <c r="J241" i="8"/>
  <c r="J244" i="8"/>
  <c r="J240" i="8"/>
  <c r="J242" i="8"/>
  <c r="J245" i="7"/>
  <c r="J241" i="7"/>
  <c r="J244" i="7"/>
  <c r="J240" i="7"/>
  <c r="J243" i="7"/>
  <c r="J239" i="7"/>
  <c r="J242" i="7"/>
  <c r="J243" i="2"/>
  <c r="J239" i="2"/>
  <c r="J242" i="2"/>
  <c r="J238" i="2"/>
  <c r="J245" i="2"/>
  <c r="J241" i="2"/>
  <c r="J244" i="2"/>
  <c r="I77" i="2"/>
  <c r="R77" i="2"/>
  <c r="W77" i="2"/>
  <c r="G50" i="2" l="1" a="1"/>
  <c r="G50" i="2" s="1"/>
  <c r="F50" i="2" a="1"/>
  <c r="F50" i="2" s="1"/>
  <c r="E50" i="2" a="1"/>
  <c r="E50" i="2" s="1"/>
  <c r="G51" i="2" l="1"/>
  <c r="F51" i="2"/>
  <c r="E51" i="2"/>
  <c r="V51" i="10" l="1"/>
  <c r="V51" i="9"/>
  <c r="V51" i="8"/>
  <c r="V51" i="7"/>
  <c r="J288" i="10"/>
  <c r="H288" i="10"/>
  <c r="J287" i="10"/>
  <c r="J289" i="10" s="1"/>
  <c r="J290" i="10" s="1"/>
  <c r="H287" i="10"/>
  <c r="H289" i="10" s="1"/>
  <c r="H290" i="10" s="1"/>
  <c r="J288" i="9"/>
  <c r="H288" i="9"/>
  <c r="J287" i="9"/>
  <c r="J289" i="9" s="1"/>
  <c r="J290" i="9" s="1"/>
  <c r="H287" i="9"/>
  <c r="H289" i="9" s="1"/>
  <c r="H290" i="9" s="1"/>
  <c r="J288" i="8"/>
  <c r="H288" i="8"/>
  <c r="J287" i="8"/>
  <c r="J289" i="8" s="1"/>
  <c r="J290" i="8" s="1"/>
  <c r="H287" i="8"/>
  <c r="H289" i="8" s="1"/>
  <c r="H290" i="8" s="1"/>
  <c r="J288" i="7"/>
  <c r="H288" i="7"/>
  <c r="J287" i="7"/>
  <c r="J289" i="7" s="1"/>
  <c r="J290" i="7" s="1"/>
  <c r="H287" i="7"/>
  <c r="H289" i="7" s="1"/>
  <c r="H290" i="7" s="1"/>
  <c r="J288" i="2"/>
  <c r="H288" i="2"/>
  <c r="Z78" i="8"/>
  <c r="X80" i="8"/>
  <c r="AD82" i="8"/>
  <c r="AB84" i="8"/>
  <c r="AA86" i="8"/>
  <c r="AB86" i="8"/>
  <c r="AC86" i="8"/>
  <c r="AD86" i="8"/>
  <c r="Z87" i="8"/>
  <c r="AA87" i="8"/>
  <c r="AB87" i="8"/>
  <c r="AC87" i="8"/>
  <c r="AD87" i="8"/>
  <c r="AA88" i="8"/>
  <c r="AB88" i="8"/>
  <c r="AC88" i="8"/>
  <c r="AD88" i="8"/>
  <c r="X89" i="8"/>
  <c r="AA89" i="8"/>
  <c r="AB89" i="8"/>
  <c r="AC89" i="8"/>
  <c r="AD89" i="8"/>
  <c r="W90" i="8"/>
  <c r="X90" i="8"/>
  <c r="Y90" i="8"/>
  <c r="Z90" i="8"/>
  <c r="W91" i="8"/>
  <c r="X91" i="8"/>
  <c r="Y91" i="8"/>
  <c r="Z91" i="8"/>
  <c r="AD91" i="8"/>
  <c r="W92" i="8"/>
  <c r="X92" i="8"/>
  <c r="Y92" i="8"/>
  <c r="Z92" i="8"/>
  <c r="W93" i="8"/>
  <c r="X93" i="8"/>
  <c r="Y93" i="8"/>
  <c r="Z93" i="8"/>
  <c r="AB93" i="8"/>
  <c r="I63" i="10" l="1"/>
  <c r="M126" i="2" l="1"/>
  <c r="N126" i="2"/>
  <c r="Q125" i="2"/>
  <c r="R125" i="2"/>
  <c r="G188" i="10"/>
  <c r="G189" i="10"/>
  <c r="G190" i="10"/>
  <c r="G191" i="10"/>
  <c r="G192" i="10"/>
  <c r="G193" i="10"/>
  <c r="G194" i="10"/>
  <c r="G187" i="10"/>
  <c r="G188" i="9"/>
  <c r="G189" i="9"/>
  <c r="G190" i="9"/>
  <c r="G191" i="9"/>
  <c r="G192" i="9"/>
  <c r="G193" i="9"/>
  <c r="G194" i="9"/>
  <c r="G187" i="9"/>
  <c r="G188" i="8"/>
  <c r="G189" i="8"/>
  <c r="G190" i="8"/>
  <c r="G191" i="8"/>
  <c r="G192" i="8"/>
  <c r="G193" i="8"/>
  <c r="G194" i="8"/>
  <c r="G187" i="8"/>
  <c r="G188" i="7"/>
  <c r="G189" i="7"/>
  <c r="G190" i="7"/>
  <c r="G191" i="7"/>
  <c r="G192" i="7"/>
  <c r="G193" i="7"/>
  <c r="G194" i="7"/>
  <c r="G187" i="7"/>
  <c r="E187" i="10"/>
  <c r="R97" i="10"/>
  <c r="R105" i="10" s="1"/>
  <c r="T95" i="10"/>
  <c r="X107" i="10" s="1"/>
  <c r="S80" i="10"/>
  <c r="X80" i="10" s="1"/>
  <c r="U78" i="10"/>
  <c r="AD82" i="10" s="1"/>
  <c r="X66" i="10"/>
  <c r="Z64" i="10"/>
  <c r="AF64" i="10" s="1"/>
  <c r="G46" i="10"/>
  <c r="C42" i="10"/>
  <c r="C41" i="10"/>
  <c r="E46" i="10" s="1"/>
  <c r="G39" i="10"/>
  <c r="F39" i="10"/>
  <c r="G38" i="10"/>
  <c r="F38" i="10"/>
  <c r="G37" i="10"/>
  <c r="F37" i="10"/>
  <c r="F20" i="10"/>
  <c r="E22" i="10" s="1"/>
  <c r="E20" i="10"/>
  <c r="I20" i="10" s="1" a="1"/>
  <c r="C16" i="10"/>
  <c r="G20" i="10" s="1"/>
  <c r="C15" i="10"/>
  <c r="G13" i="10"/>
  <c r="F13" i="10"/>
  <c r="G12" i="10"/>
  <c r="F12" i="10"/>
  <c r="G11" i="10"/>
  <c r="F11" i="10"/>
  <c r="J15" i="10" s="1" a="1"/>
  <c r="E187" i="9"/>
  <c r="X107" i="9"/>
  <c r="R97" i="9"/>
  <c r="R105" i="9" s="1"/>
  <c r="T95" i="9"/>
  <c r="T103" i="9" s="1"/>
  <c r="S80" i="9"/>
  <c r="Z78" i="9"/>
  <c r="U78" i="9"/>
  <c r="AD82" i="9" s="1"/>
  <c r="AH70" i="9"/>
  <c r="X66" i="9"/>
  <c r="AD66" i="9" s="1"/>
  <c r="Z64" i="9"/>
  <c r="AJ68" i="9" s="1"/>
  <c r="E46" i="9"/>
  <c r="C42" i="9"/>
  <c r="G46" i="9" s="1"/>
  <c r="C41" i="9"/>
  <c r="F46" i="9" s="1"/>
  <c r="G39" i="9"/>
  <c r="F39" i="9"/>
  <c r="G38" i="9"/>
  <c r="F38" i="9"/>
  <c r="G37" i="9"/>
  <c r="F37" i="9"/>
  <c r="F20" i="9"/>
  <c r="C16" i="9"/>
  <c r="C15" i="9"/>
  <c r="G13" i="9"/>
  <c r="F13" i="9"/>
  <c r="G12" i="9"/>
  <c r="F12" i="9"/>
  <c r="G11" i="9"/>
  <c r="J15" i="9" s="1" a="1"/>
  <c r="F11" i="9"/>
  <c r="E187" i="8"/>
  <c r="X107" i="8"/>
  <c r="T103" i="8"/>
  <c r="R97" i="8"/>
  <c r="R105" i="8" s="1"/>
  <c r="T95" i="8"/>
  <c r="S80" i="8"/>
  <c r="U78" i="8"/>
  <c r="X66" i="8"/>
  <c r="AF64" i="8"/>
  <c r="Z64" i="8"/>
  <c r="AJ68" i="8" s="1"/>
  <c r="G46" i="8"/>
  <c r="C42" i="8"/>
  <c r="C41" i="8"/>
  <c r="E46" i="8" s="1"/>
  <c r="G39" i="8"/>
  <c r="F39" i="8"/>
  <c r="G38" i="8"/>
  <c r="F38" i="8"/>
  <c r="G37" i="8"/>
  <c r="F37" i="8"/>
  <c r="J41" i="8" s="1" a="1"/>
  <c r="K41" i="8" s="1"/>
  <c r="G20" i="8"/>
  <c r="F20" i="8"/>
  <c r="C16" i="8"/>
  <c r="C15" i="8"/>
  <c r="E20" i="8" s="1"/>
  <c r="G13" i="8"/>
  <c r="F13" i="8"/>
  <c r="G12" i="8"/>
  <c r="F12" i="8"/>
  <c r="G11" i="8"/>
  <c r="J15" i="8" s="1" a="1"/>
  <c r="F11" i="8"/>
  <c r="E187" i="7"/>
  <c r="X107" i="7"/>
  <c r="T103" i="7"/>
  <c r="R97" i="7"/>
  <c r="R105" i="7" s="1"/>
  <c r="T95" i="7"/>
  <c r="S80" i="7"/>
  <c r="AB84" i="7" s="1"/>
  <c r="U78" i="7"/>
  <c r="AD82" i="7" s="1"/>
  <c r="AH70" i="7"/>
  <c r="AD66" i="7"/>
  <c r="X66" i="7"/>
  <c r="AF64" i="7"/>
  <c r="Z64" i="7"/>
  <c r="AJ68" i="7" s="1"/>
  <c r="G46" i="7"/>
  <c r="F46" i="7"/>
  <c r="C42" i="7"/>
  <c r="C41" i="7"/>
  <c r="E46" i="7" s="1"/>
  <c r="G39" i="7"/>
  <c r="F39" i="7"/>
  <c r="G38" i="7"/>
  <c r="F38" i="7"/>
  <c r="G37" i="7"/>
  <c r="J41" i="7" s="1" a="1"/>
  <c r="F37" i="7"/>
  <c r="F20" i="7"/>
  <c r="C16" i="7"/>
  <c r="J15" i="7" a="1"/>
  <c r="C15" i="7"/>
  <c r="G13" i="7"/>
  <c r="F13" i="7"/>
  <c r="G12" i="7"/>
  <c r="F12" i="7"/>
  <c r="G11" i="7"/>
  <c r="F11" i="7"/>
  <c r="K100" i="2"/>
  <c r="J100" i="2"/>
  <c r="K88" i="2"/>
  <c r="J88" i="2"/>
  <c r="T95" i="2"/>
  <c r="T103" i="2" s="1"/>
  <c r="R97" i="2"/>
  <c r="E187" i="2"/>
  <c r="U78" i="2"/>
  <c r="S80" i="2"/>
  <c r="R105" i="2"/>
  <c r="Z64" i="2"/>
  <c r="AJ68" i="2" s="1"/>
  <c r="X66" i="2"/>
  <c r="AH70" i="2" s="1"/>
  <c r="G39" i="2"/>
  <c r="F39" i="2"/>
  <c r="G38" i="2"/>
  <c r="F38" i="2"/>
  <c r="G37" i="2"/>
  <c r="J287" i="2" s="1"/>
  <c r="J289" i="2" s="1"/>
  <c r="J290" i="2" s="1"/>
  <c r="F37" i="2"/>
  <c r="C42" i="2"/>
  <c r="G46" i="2" s="1"/>
  <c r="C41" i="2"/>
  <c r="F46" i="2" s="1"/>
  <c r="G13" i="2"/>
  <c r="F13" i="2"/>
  <c r="G12" i="2"/>
  <c r="F12" i="2"/>
  <c r="G11" i="2"/>
  <c r="H287" i="2" s="1"/>
  <c r="H289" i="2" s="1"/>
  <c r="H290" i="2" s="1"/>
  <c r="F11" i="2"/>
  <c r="Z78" i="2" l="1"/>
  <c r="AD82" i="2"/>
  <c r="AB84" i="2"/>
  <c r="X80" i="2"/>
  <c r="J41" i="9" a="1"/>
  <c r="J41" i="9" s="1"/>
  <c r="AF64" i="9"/>
  <c r="J16" i="10"/>
  <c r="K15" i="10"/>
  <c r="J15" i="10"/>
  <c r="K16" i="10"/>
  <c r="I22" i="10"/>
  <c r="I21" i="10"/>
  <c r="I20" i="10"/>
  <c r="J41" i="10" a="1"/>
  <c r="E48" i="10"/>
  <c r="F46" i="10"/>
  <c r="I46" i="10" s="1" a="1"/>
  <c r="AH70" i="10"/>
  <c r="AD66" i="10"/>
  <c r="AJ68" i="10"/>
  <c r="AB84" i="10"/>
  <c r="Z78" i="10"/>
  <c r="T103" i="10"/>
  <c r="J16" i="9"/>
  <c r="K15" i="9"/>
  <c r="J15" i="9"/>
  <c r="G20" i="9"/>
  <c r="E20" i="9"/>
  <c r="K16" i="9"/>
  <c r="X80" i="9"/>
  <c r="AB84" i="9"/>
  <c r="E48" i="9"/>
  <c r="I46" i="9" a="1"/>
  <c r="K42" i="9"/>
  <c r="K15" i="8"/>
  <c r="J15" i="8"/>
  <c r="K16" i="8"/>
  <c r="J16" i="8"/>
  <c r="E22" i="8"/>
  <c r="I20" i="8" a="1"/>
  <c r="E48" i="8"/>
  <c r="I46" i="8" a="1"/>
  <c r="F46" i="8"/>
  <c r="AH70" i="8"/>
  <c r="AD66" i="8"/>
  <c r="J41" i="8"/>
  <c r="K42" i="8"/>
  <c r="J42" i="8"/>
  <c r="J16" i="7"/>
  <c r="K15" i="7"/>
  <c r="J15" i="7"/>
  <c r="K16" i="7"/>
  <c r="J41" i="7"/>
  <c r="K41" i="7"/>
  <c r="K42" i="7"/>
  <c r="J42" i="7"/>
  <c r="G20" i="7"/>
  <c r="E20" i="7"/>
  <c r="E48" i="7"/>
  <c r="I46" i="7" a="1"/>
  <c r="Z78" i="7"/>
  <c r="X80" i="7"/>
  <c r="X107" i="2"/>
  <c r="AF64" i="2"/>
  <c r="J15" i="2" a="1"/>
  <c r="J15" i="2" s="1"/>
  <c r="J41" i="2" a="1"/>
  <c r="K42" i="2" s="1"/>
  <c r="AD66" i="2"/>
  <c r="E46" i="2"/>
  <c r="C16" i="2"/>
  <c r="G20" i="2" s="1"/>
  <c r="C15" i="2"/>
  <c r="F20" i="2" s="1"/>
  <c r="K41" i="9" l="1"/>
  <c r="U41" i="9" s="1" a="1"/>
  <c r="J42" i="9"/>
  <c r="N41" i="9" s="1"/>
  <c r="P41" i="9" s="1"/>
  <c r="I46" i="10"/>
  <c r="I48" i="10"/>
  <c r="I47" i="10"/>
  <c r="K20" i="10" a="1"/>
  <c r="U15" i="10" a="1"/>
  <c r="N15" i="10"/>
  <c r="P15" i="10" s="1"/>
  <c r="J41" i="10"/>
  <c r="K42" i="10"/>
  <c r="J42" i="10"/>
  <c r="K41" i="10"/>
  <c r="U15" i="9" a="1"/>
  <c r="N15" i="9"/>
  <c r="P15" i="9" s="1"/>
  <c r="I48" i="9"/>
  <c r="I47" i="9"/>
  <c r="I46" i="9"/>
  <c r="E22" i="9"/>
  <c r="I20" i="9" a="1"/>
  <c r="N41" i="8"/>
  <c r="P41" i="8" s="1"/>
  <c r="U41" i="8" a="1"/>
  <c r="I21" i="8"/>
  <c r="I20" i="8"/>
  <c r="K20" i="8" s="1" a="1"/>
  <c r="I22" i="8"/>
  <c r="N15" i="8"/>
  <c r="P15" i="8" s="1"/>
  <c r="U15" i="8" a="1"/>
  <c r="I46" i="8"/>
  <c r="K46" i="8" s="1" a="1"/>
  <c r="I47" i="8"/>
  <c r="I48" i="8"/>
  <c r="E22" i="7"/>
  <c r="I20" i="7" a="1"/>
  <c r="I46" i="7"/>
  <c r="I47" i="7"/>
  <c r="I48" i="7"/>
  <c r="U15" i="7" a="1"/>
  <c r="N15" i="7"/>
  <c r="P15" i="7" s="1"/>
  <c r="N41" i="7"/>
  <c r="P41" i="7" s="1"/>
  <c r="U41" i="7" a="1"/>
  <c r="K15" i="2"/>
  <c r="J42" i="2"/>
  <c r="K16" i="2"/>
  <c r="J41" i="2"/>
  <c r="J16" i="2"/>
  <c r="K41" i="2"/>
  <c r="E48" i="2"/>
  <c r="I46" i="2" a="1"/>
  <c r="E20" i="2"/>
  <c r="I20" i="2" s="1" a="1"/>
  <c r="U15" i="2" l="1" a="1"/>
  <c r="U16" i="2" s="1"/>
  <c r="V42" i="9"/>
  <c r="U42" i="9"/>
  <c r="V41" i="9"/>
  <c r="U41" i="9"/>
  <c r="E50" i="9" s="1" a="1"/>
  <c r="K22" i="10"/>
  <c r="O22" i="10" s="1"/>
  <c r="I65" i="10" s="1"/>
  <c r="R65" i="10" s="1"/>
  <c r="M20" i="10"/>
  <c r="Q20" i="10" s="1"/>
  <c r="K63" i="10" s="1"/>
  <c r="T63" i="10" s="1"/>
  <c r="M22" i="10"/>
  <c r="Q22" i="10" s="1"/>
  <c r="K65" i="10" s="1"/>
  <c r="T65" i="10" s="1"/>
  <c r="K21" i="10"/>
  <c r="O21" i="10" s="1"/>
  <c r="I64" i="10" s="1"/>
  <c r="R64" i="10" s="1"/>
  <c r="W64" i="10" s="1"/>
  <c r="L22" i="10"/>
  <c r="P22" i="10" s="1"/>
  <c r="J65" i="10" s="1"/>
  <c r="S65" i="10" s="1"/>
  <c r="X65" i="10" s="1"/>
  <c r="L20" i="10"/>
  <c r="P20" i="10" s="1"/>
  <c r="J63" i="10" s="1"/>
  <c r="S63" i="10" s="1"/>
  <c r="X63" i="10" s="1"/>
  <c r="M21" i="10"/>
  <c r="Q21" i="10" s="1"/>
  <c r="K64" i="10" s="1"/>
  <c r="T64" i="10" s="1"/>
  <c r="Y64" i="10" s="1"/>
  <c r="K20" i="10"/>
  <c r="O20" i="10" s="1"/>
  <c r="R63" i="10" s="1"/>
  <c r="L21" i="10"/>
  <c r="P21" i="10" s="1"/>
  <c r="J64" i="10" s="1"/>
  <c r="S64" i="10" s="1"/>
  <c r="X64" i="10" s="1"/>
  <c r="N41" i="10"/>
  <c r="P41" i="10" s="1"/>
  <c r="U41" i="10" a="1"/>
  <c r="V16" i="10"/>
  <c r="U15" i="10"/>
  <c r="U16" i="10"/>
  <c r="V15" i="10"/>
  <c r="K46" i="10" a="1"/>
  <c r="V16" i="9"/>
  <c r="V15" i="9"/>
  <c r="U16" i="9"/>
  <c r="U15" i="9"/>
  <c r="I22" i="9"/>
  <c r="I21" i="9"/>
  <c r="I20" i="9"/>
  <c r="G50" i="9" a="1"/>
  <c r="K46" i="9" a="1"/>
  <c r="V15" i="8"/>
  <c r="V16" i="8"/>
  <c r="U16" i="8"/>
  <c r="U15" i="8"/>
  <c r="M48" i="8"/>
  <c r="Q48" i="8" s="1"/>
  <c r="K70" i="8" s="1"/>
  <c r="U72" i="8" s="1"/>
  <c r="Z66" i="8" s="1"/>
  <c r="L47" i="8"/>
  <c r="P47" i="8" s="1"/>
  <c r="J69" i="8" s="1"/>
  <c r="T71" i="8" s="1"/>
  <c r="K46" i="8"/>
  <c r="O46" i="8" s="1"/>
  <c r="I68" i="8" s="1"/>
  <c r="R69" i="8" s="1"/>
  <c r="L48" i="8"/>
  <c r="P48" i="8" s="1"/>
  <c r="J70" i="8" s="1"/>
  <c r="T72" i="8" s="1"/>
  <c r="Y66" i="8" s="1"/>
  <c r="K47" i="8"/>
  <c r="O47" i="8" s="1"/>
  <c r="I69" i="8" s="1"/>
  <c r="R71" i="8" s="1"/>
  <c r="M47" i="8"/>
  <c r="Q47" i="8" s="1"/>
  <c r="K69" i="8" s="1"/>
  <c r="U71" i="8" s="1"/>
  <c r="Z65" i="8" s="1"/>
  <c r="M46" i="8"/>
  <c r="Q46" i="8" s="1"/>
  <c r="K68" i="8" s="1"/>
  <c r="U69" i="8" s="1"/>
  <c r="Z63" i="8" s="1"/>
  <c r="L46" i="8"/>
  <c r="P46" i="8" s="1"/>
  <c r="J68" i="8" s="1"/>
  <c r="T69" i="8" s="1"/>
  <c r="K48" i="8"/>
  <c r="O48" i="8" s="1"/>
  <c r="I70" i="8" s="1"/>
  <c r="R72" i="8" s="1"/>
  <c r="W66" i="8" s="1"/>
  <c r="M22" i="8"/>
  <c r="Q22" i="8" s="1"/>
  <c r="K65" i="8" s="1"/>
  <c r="T65" i="8" s="1"/>
  <c r="Y65" i="8" s="1"/>
  <c r="L21" i="8"/>
  <c r="P21" i="8" s="1"/>
  <c r="J64" i="8" s="1"/>
  <c r="S64" i="8" s="1"/>
  <c r="X64" i="8" s="1"/>
  <c r="K20" i="8"/>
  <c r="O20" i="8" s="1"/>
  <c r="I63" i="8" s="1"/>
  <c r="R63" i="8" s="1"/>
  <c r="W63" i="8" s="1"/>
  <c r="K22" i="8"/>
  <c r="O22" i="8" s="1"/>
  <c r="I65" i="8" s="1"/>
  <c r="R65" i="8" s="1"/>
  <c r="L20" i="8"/>
  <c r="P20" i="8" s="1"/>
  <c r="J63" i="8" s="1"/>
  <c r="S63" i="8" s="1"/>
  <c r="X63" i="8" s="1"/>
  <c r="L22" i="8"/>
  <c r="P22" i="8" s="1"/>
  <c r="J65" i="8" s="1"/>
  <c r="S65" i="8" s="1"/>
  <c r="X65" i="8" s="1"/>
  <c r="K21" i="8"/>
  <c r="O21" i="8" s="1"/>
  <c r="I64" i="8" s="1"/>
  <c r="R64" i="8" s="1"/>
  <c r="W64" i="8" s="1"/>
  <c r="M20" i="8"/>
  <c r="Q20" i="8" s="1"/>
  <c r="K63" i="8" s="1"/>
  <c r="T63" i="8" s="1"/>
  <c r="M21" i="8"/>
  <c r="Q21" i="8" s="1"/>
  <c r="K64" i="8" s="1"/>
  <c r="T64" i="8" s="1"/>
  <c r="Y64" i="8" s="1"/>
  <c r="V41" i="8"/>
  <c r="U41" i="8"/>
  <c r="V42" i="8"/>
  <c r="U42" i="8"/>
  <c r="V16" i="7"/>
  <c r="U16" i="7"/>
  <c r="V15" i="7"/>
  <c r="U15" i="7"/>
  <c r="I22" i="7"/>
  <c r="I21" i="7"/>
  <c r="I20" i="7"/>
  <c r="K46" i="7" a="1"/>
  <c r="V41" i="7"/>
  <c r="V42" i="7"/>
  <c r="U41" i="7"/>
  <c r="U42" i="7"/>
  <c r="N41" i="2"/>
  <c r="P41" i="2" s="1"/>
  <c r="U41" i="2" a="1"/>
  <c r="V42" i="2" s="1"/>
  <c r="V15" i="2"/>
  <c r="V16" i="2"/>
  <c r="I48" i="2"/>
  <c r="I47" i="2"/>
  <c r="I46" i="2"/>
  <c r="I21" i="2"/>
  <c r="I20" i="2"/>
  <c r="I22" i="2"/>
  <c r="E22" i="2"/>
  <c r="N15" i="2"/>
  <c r="P15" i="2" s="1"/>
  <c r="U15" i="2" l="1"/>
  <c r="F50" i="9" a="1"/>
  <c r="F50" i="9" s="1"/>
  <c r="AH67" i="10"/>
  <c r="AD63" i="10"/>
  <c r="F24" i="10" a="1"/>
  <c r="G24" i="10" a="1"/>
  <c r="E24" i="10" a="1"/>
  <c r="AH68" i="10"/>
  <c r="AD64" i="10"/>
  <c r="AH69" i="10"/>
  <c r="AD65" i="10"/>
  <c r="M48" i="10"/>
  <c r="Q48" i="10" s="1"/>
  <c r="K70" i="10" s="1"/>
  <c r="U72" i="10" s="1"/>
  <c r="Z66" i="10" s="1"/>
  <c r="L47" i="10"/>
  <c r="P47" i="10" s="1"/>
  <c r="J69" i="10" s="1"/>
  <c r="T71" i="10" s="1"/>
  <c r="Y65" i="10" s="1"/>
  <c r="K46" i="10"/>
  <c r="O46" i="10" s="1"/>
  <c r="I68" i="10" s="1"/>
  <c r="R69" i="10" s="1"/>
  <c r="L48" i="10"/>
  <c r="P48" i="10" s="1"/>
  <c r="J70" i="10" s="1"/>
  <c r="T72" i="10" s="1"/>
  <c r="Y66" i="10" s="1"/>
  <c r="K47" i="10"/>
  <c r="O47" i="10" s="1"/>
  <c r="I69" i="10" s="1"/>
  <c r="R71" i="10" s="1"/>
  <c r="W65" i="10" s="1"/>
  <c r="L46" i="10"/>
  <c r="P46" i="10" s="1"/>
  <c r="J68" i="10" s="1"/>
  <c r="T69" i="10" s="1"/>
  <c r="Y63" i="10" s="1"/>
  <c r="K48" i="10"/>
  <c r="O48" i="10" s="1"/>
  <c r="I70" i="10" s="1"/>
  <c r="R72" i="10" s="1"/>
  <c r="W66" i="10" s="1"/>
  <c r="M47" i="10"/>
  <c r="Q47" i="10" s="1"/>
  <c r="K69" i="10" s="1"/>
  <c r="U71" i="10" s="1"/>
  <c r="Z65" i="10" s="1"/>
  <c r="M46" i="10"/>
  <c r="Q46" i="10" s="1"/>
  <c r="K68" i="10" s="1"/>
  <c r="U69" i="10" s="1"/>
  <c r="Z63" i="10" s="1"/>
  <c r="W63" i="10"/>
  <c r="AC64" i="10"/>
  <c r="AG68" i="10"/>
  <c r="AA64" i="10"/>
  <c r="V41" i="10"/>
  <c r="U41" i="10"/>
  <c r="V42" i="10"/>
  <c r="U42" i="10"/>
  <c r="AI68" i="10"/>
  <c r="AE64" i="10"/>
  <c r="G51" i="9"/>
  <c r="G50" i="9"/>
  <c r="F51" i="9"/>
  <c r="E51" i="9"/>
  <c r="E50" i="9"/>
  <c r="F24" i="9" a="1"/>
  <c r="G24" i="9" a="1"/>
  <c r="E24" i="9" a="1"/>
  <c r="L48" i="9"/>
  <c r="P48" i="9" s="1"/>
  <c r="J70" i="9" s="1"/>
  <c r="T72" i="9" s="1"/>
  <c r="Y66" i="9" s="1"/>
  <c r="K47" i="9"/>
  <c r="O47" i="9" s="1"/>
  <c r="I69" i="9" s="1"/>
  <c r="R71" i="9" s="1"/>
  <c r="K48" i="9"/>
  <c r="O48" i="9" s="1"/>
  <c r="I70" i="9" s="1"/>
  <c r="R72" i="9" s="1"/>
  <c r="W66" i="9" s="1"/>
  <c r="M46" i="9"/>
  <c r="Q46" i="9" s="1"/>
  <c r="K68" i="9" s="1"/>
  <c r="U69" i="9" s="1"/>
  <c r="Z63" i="9" s="1"/>
  <c r="M47" i="9"/>
  <c r="Q47" i="9" s="1"/>
  <c r="K69" i="9" s="1"/>
  <c r="U71" i="9" s="1"/>
  <c r="Z65" i="9" s="1"/>
  <c r="L46" i="9"/>
  <c r="P46" i="9" s="1"/>
  <c r="J68" i="9" s="1"/>
  <c r="T69" i="9" s="1"/>
  <c r="M48" i="9"/>
  <c r="Q48" i="9" s="1"/>
  <c r="K70" i="9" s="1"/>
  <c r="U72" i="9" s="1"/>
  <c r="Z66" i="9" s="1"/>
  <c r="L47" i="9"/>
  <c r="P47" i="9" s="1"/>
  <c r="J69" i="9" s="1"/>
  <c r="T71" i="9" s="1"/>
  <c r="K46" i="9"/>
  <c r="O46" i="9" s="1"/>
  <c r="I68" i="9" s="1"/>
  <c r="R69" i="9" s="1"/>
  <c r="K20" i="9" a="1"/>
  <c r="AH67" i="8"/>
  <c r="AD63" i="8"/>
  <c r="Y63" i="8"/>
  <c r="W65" i="8"/>
  <c r="AJ67" i="8"/>
  <c r="AF63" i="8"/>
  <c r="AI68" i="8"/>
  <c r="AE64" i="8"/>
  <c r="AI69" i="8"/>
  <c r="AE65" i="8"/>
  <c r="AI70" i="8"/>
  <c r="AE66" i="8"/>
  <c r="E24" i="8" a="1"/>
  <c r="F24" i="8" a="1"/>
  <c r="G24" i="8" a="1"/>
  <c r="E50" i="8" a="1"/>
  <c r="G50" i="8" a="1"/>
  <c r="F50" i="8" a="1"/>
  <c r="AC64" i="8"/>
  <c r="AG68" i="8"/>
  <c r="AA64" i="8"/>
  <c r="AC63" i="8"/>
  <c r="AG67" i="8"/>
  <c r="AA63" i="8"/>
  <c r="AJ69" i="8"/>
  <c r="AF65" i="8"/>
  <c r="AH69" i="8"/>
  <c r="AD65" i="8"/>
  <c r="AH68" i="8"/>
  <c r="AD64" i="8"/>
  <c r="AA66" i="8"/>
  <c r="AG70" i="8"/>
  <c r="AC66" i="8"/>
  <c r="AJ70" i="8"/>
  <c r="AF66" i="8"/>
  <c r="K20" i="7" a="1"/>
  <c r="E50" i="7" a="1"/>
  <c r="F50" i="7" a="1"/>
  <c r="G50" i="7" a="1"/>
  <c r="F24" i="7" a="1"/>
  <c r="G24" i="7" a="1"/>
  <c r="E24" i="7" a="1"/>
  <c r="M48" i="7"/>
  <c r="Q48" i="7" s="1"/>
  <c r="K70" i="7" s="1"/>
  <c r="U72" i="7" s="1"/>
  <c r="Z66" i="7" s="1"/>
  <c r="L47" i="7"/>
  <c r="P47" i="7" s="1"/>
  <c r="J69" i="7" s="1"/>
  <c r="T71" i="7" s="1"/>
  <c r="K46" i="7"/>
  <c r="O46" i="7" s="1"/>
  <c r="I68" i="7" s="1"/>
  <c r="R69" i="7" s="1"/>
  <c r="L48" i="7"/>
  <c r="P48" i="7" s="1"/>
  <c r="J70" i="7" s="1"/>
  <c r="T72" i="7" s="1"/>
  <c r="Y66" i="7" s="1"/>
  <c r="M46" i="7"/>
  <c r="Q46" i="7" s="1"/>
  <c r="K68" i="7" s="1"/>
  <c r="U69" i="7" s="1"/>
  <c r="Z63" i="7" s="1"/>
  <c r="K48" i="7"/>
  <c r="O48" i="7" s="1"/>
  <c r="I70" i="7" s="1"/>
  <c r="R72" i="7" s="1"/>
  <c r="W66" i="7" s="1"/>
  <c r="L46" i="7"/>
  <c r="P46" i="7" s="1"/>
  <c r="J68" i="7" s="1"/>
  <c r="T69" i="7" s="1"/>
  <c r="M47" i="7"/>
  <c r="Q47" i="7" s="1"/>
  <c r="K69" i="7" s="1"/>
  <c r="U71" i="7" s="1"/>
  <c r="Z65" i="7" s="1"/>
  <c r="K47" i="7"/>
  <c r="O47" i="7" s="1"/>
  <c r="I69" i="7" s="1"/>
  <c r="R71" i="7" s="1"/>
  <c r="U41" i="2"/>
  <c r="V41" i="2"/>
  <c r="U42" i="2"/>
  <c r="K46" i="2" a="1"/>
  <c r="K20" i="2" a="1"/>
  <c r="AI67" i="10" l="1"/>
  <c r="AE63" i="10"/>
  <c r="AI69" i="10"/>
  <c r="AE65" i="10"/>
  <c r="AC65" i="10"/>
  <c r="AA65" i="10"/>
  <c r="AG69" i="10"/>
  <c r="E50" i="10" a="1"/>
  <c r="G50" i="10" a="1"/>
  <c r="F50" i="10" a="1"/>
  <c r="AC63" i="10"/>
  <c r="AG67" i="10"/>
  <c r="AA63" i="10"/>
  <c r="G24" i="10"/>
  <c r="G25" i="10"/>
  <c r="AM64" i="10"/>
  <c r="AQ68" i="10"/>
  <c r="AJ67" i="10"/>
  <c r="AF63" i="10"/>
  <c r="AJ70" i="10"/>
  <c r="AF66" i="10"/>
  <c r="F25" i="10"/>
  <c r="F24" i="10"/>
  <c r="AJ69" i="10"/>
  <c r="AF65" i="10"/>
  <c r="AI70" i="10"/>
  <c r="AE66" i="10"/>
  <c r="AA66" i="10"/>
  <c r="AG70" i="10"/>
  <c r="AC66" i="10"/>
  <c r="E25" i="10"/>
  <c r="E24" i="10"/>
  <c r="AJ67" i="9"/>
  <c r="AF63" i="9"/>
  <c r="G24" i="9"/>
  <c r="G25" i="9"/>
  <c r="G56" i="9"/>
  <c r="H55" i="9"/>
  <c r="F25" i="9"/>
  <c r="F24" i="9"/>
  <c r="K22" i="9"/>
  <c r="O22" i="9" s="1"/>
  <c r="I65" i="9" s="1"/>
  <c r="R65" i="9" s="1"/>
  <c r="W65" i="9" s="1"/>
  <c r="M20" i="9"/>
  <c r="Q20" i="9" s="1"/>
  <c r="K63" i="9" s="1"/>
  <c r="T63" i="9" s="1"/>
  <c r="Y63" i="9" s="1"/>
  <c r="M21" i="9"/>
  <c r="Q21" i="9" s="1"/>
  <c r="K64" i="9" s="1"/>
  <c r="T64" i="9" s="1"/>
  <c r="Y64" i="9" s="1"/>
  <c r="L20" i="9"/>
  <c r="P20" i="9" s="1"/>
  <c r="J63" i="9" s="1"/>
  <c r="S63" i="9" s="1"/>
  <c r="X63" i="9" s="1"/>
  <c r="M22" i="9"/>
  <c r="Q22" i="9" s="1"/>
  <c r="K65" i="9" s="1"/>
  <c r="T65" i="9" s="1"/>
  <c r="Y65" i="9" s="1"/>
  <c r="L21" i="9"/>
  <c r="P21" i="9" s="1"/>
  <c r="J64" i="9" s="1"/>
  <c r="S64" i="9" s="1"/>
  <c r="X64" i="9" s="1"/>
  <c r="K20" i="9"/>
  <c r="O20" i="9" s="1"/>
  <c r="I63" i="9" s="1"/>
  <c r="R63" i="9" s="1"/>
  <c r="W63" i="9" s="1"/>
  <c r="L22" i="9"/>
  <c r="P22" i="9" s="1"/>
  <c r="J65" i="9" s="1"/>
  <c r="S65" i="9" s="1"/>
  <c r="X65" i="9" s="1"/>
  <c r="K21" i="9"/>
  <c r="O21" i="9" s="1"/>
  <c r="I64" i="9" s="1"/>
  <c r="R64" i="9" s="1"/>
  <c r="W64" i="9" s="1"/>
  <c r="F56" i="9"/>
  <c r="E54" i="9"/>
  <c r="O50" i="9" a="1"/>
  <c r="H102" i="9" a="1"/>
  <c r="I54" i="9"/>
  <c r="J56" i="9"/>
  <c r="AJ70" i="9"/>
  <c r="AF66" i="9"/>
  <c r="AG70" i="9"/>
  <c r="AC66" i="9"/>
  <c r="AA66" i="9"/>
  <c r="H56" i="9"/>
  <c r="G54" i="9"/>
  <c r="AF65" i="9"/>
  <c r="AJ69" i="9"/>
  <c r="AI70" i="9"/>
  <c r="AE66" i="9"/>
  <c r="E25" i="9"/>
  <c r="E24" i="9"/>
  <c r="F55" i="9" a="1"/>
  <c r="F55" i="9" s="1"/>
  <c r="E56" i="9"/>
  <c r="H107" i="9" a="1"/>
  <c r="J55" i="9"/>
  <c r="I56" i="9"/>
  <c r="F25" i="8"/>
  <c r="F24" i="8"/>
  <c r="AM64" i="8"/>
  <c r="AQ68" i="8"/>
  <c r="G51" i="8"/>
  <c r="G50" i="8"/>
  <c r="E24" i="8"/>
  <c r="E25" i="8"/>
  <c r="AC65" i="8"/>
  <c r="AA65" i="8"/>
  <c r="AG69" i="8"/>
  <c r="AS70" i="8"/>
  <c r="AO66" i="8"/>
  <c r="F51" i="8"/>
  <c r="F50" i="8"/>
  <c r="AL63" i="8"/>
  <c r="AP67" i="8"/>
  <c r="E50" i="8"/>
  <c r="E51" i="8"/>
  <c r="AI67" i="8"/>
  <c r="AE63" i="8"/>
  <c r="G25" i="8"/>
  <c r="G24" i="8"/>
  <c r="AG70" i="7"/>
  <c r="AC66" i="7"/>
  <c r="AA66" i="7"/>
  <c r="K22" i="7"/>
  <c r="O22" i="7" s="1"/>
  <c r="I65" i="7" s="1"/>
  <c r="R65" i="7" s="1"/>
  <c r="W65" i="7" s="1"/>
  <c r="M20" i="7"/>
  <c r="Q20" i="7" s="1"/>
  <c r="K63" i="7" s="1"/>
  <c r="T63" i="7" s="1"/>
  <c r="Y63" i="7" s="1"/>
  <c r="M21" i="7"/>
  <c r="Q21" i="7" s="1"/>
  <c r="K64" i="7" s="1"/>
  <c r="T64" i="7" s="1"/>
  <c r="Y64" i="7" s="1"/>
  <c r="L20" i="7"/>
  <c r="P20" i="7" s="1"/>
  <c r="J63" i="7" s="1"/>
  <c r="S63" i="7" s="1"/>
  <c r="X63" i="7" s="1"/>
  <c r="M22" i="7"/>
  <c r="Q22" i="7" s="1"/>
  <c r="K65" i="7" s="1"/>
  <c r="T65" i="7" s="1"/>
  <c r="Y65" i="7" s="1"/>
  <c r="L21" i="7"/>
  <c r="P21" i="7" s="1"/>
  <c r="J64" i="7" s="1"/>
  <c r="S64" i="7" s="1"/>
  <c r="X64" i="7" s="1"/>
  <c r="K20" i="7"/>
  <c r="O20" i="7" s="1"/>
  <c r="I63" i="7" s="1"/>
  <c r="R63" i="7" s="1"/>
  <c r="W63" i="7" s="1"/>
  <c r="K21" i="7"/>
  <c r="O21" i="7" s="1"/>
  <c r="I64" i="7" s="1"/>
  <c r="R64" i="7" s="1"/>
  <c r="W64" i="7" s="1"/>
  <c r="L22" i="7"/>
  <c r="P22" i="7" s="1"/>
  <c r="J65" i="7" s="1"/>
  <c r="S65" i="7" s="1"/>
  <c r="X65" i="7" s="1"/>
  <c r="AJ70" i="7"/>
  <c r="AF66" i="7"/>
  <c r="AJ69" i="7"/>
  <c r="AF65" i="7"/>
  <c r="AE66" i="7"/>
  <c r="AI70" i="7"/>
  <c r="E24" i="7"/>
  <c r="E25" i="7"/>
  <c r="F51" i="7"/>
  <c r="F50" i="7"/>
  <c r="F25" i="7"/>
  <c r="F24" i="7"/>
  <c r="AJ67" i="7"/>
  <c r="AF63" i="7"/>
  <c r="G51" i="7"/>
  <c r="G50" i="7"/>
  <c r="G24" i="7"/>
  <c r="G25" i="7"/>
  <c r="E50" i="7"/>
  <c r="E51" i="7"/>
  <c r="K48" i="2"/>
  <c r="O48" i="2" s="1"/>
  <c r="I70" i="2" s="1"/>
  <c r="R72" i="2" s="1"/>
  <c r="W66" i="2" s="1"/>
  <c r="M46" i="2"/>
  <c r="Q46" i="2" s="1"/>
  <c r="K68" i="2" s="1"/>
  <c r="U69" i="2" s="1"/>
  <c r="Z63" i="2" s="1"/>
  <c r="M47" i="2"/>
  <c r="Q47" i="2" s="1"/>
  <c r="K69" i="2" s="1"/>
  <c r="U71" i="2" s="1"/>
  <c r="Z65" i="2" s="1"/>
  <c r="L46" i="2"/>
  <c r="P46" i="2" s="1"/>
  <c r="J68" i="2" s="1"/>
  <c r="T69" i="2" s="1"/>
  <c r="M48" i="2"/>
  <c r="Q48" i="2" s="1"/>
  <c r="K70" i="2" s="1"/>
  <c r="U72" i="2" s="1"/>
  <c r="Z66" i="2" s="1"/>
  <c r="L47" i="2"/>
  <c r="P47" i="2" s="1"/>
  <c r="J69" i="2" s="1"/>
  <c r="T71" i="2" s="1"/>
  <c r="K46" i="2"/>
  <c r="O46" i="2" s="1"/>
  <c r="I68" i="2" s="1"/>
  <c r="R69" i="2" s="1"/>
  <c r="L48" i="2"/>
  <c r="P48" i="2" s="1"/>
  <c r="J70" i="2" s="1"/>
  <c r="T72" i="2" s="1"/>
  <c r="Y66" i="2" s="1"/>
  <c r="K47" i="2"/>
  <c r="O47" i="2" s="1"/>
  <c r="I69" i="2" s="1"/>
  <c r="R71" i="2" s="1"/>
  <c r="F24" i="2" a="1"/>
  <c r="E24" i="2" a="1"/>
  <c r="G24" i="2" a="1"/>
  <c r="K22" i="2"/>
  <c r="O22" i="2" s="1"/>
  <c r="I65" i="2" s="1"/>
  <c r="R65" i="2" s="1"/>
  <c r="W65" i="2" s="1"/>
  <c r="M20" i="2"/>
  <c r="Q20" i="2" s="1"/>
  <c r="K63" i="2" s="1"/>
  <c r="T63" i="2" s="1"/>
  <c r="M21" i="2"/>
  <c r="Q21" i="2" s="1"/>
  <c r="K64" i="2" s="1"/>
  <c r="T64" i="2" s="1"/>
  <c r="Y64" i="2" s="1"/>
  <c r="L20" i="2"/>
  <c r="P20" i="2" s="1"/>
  <c r="J63" i="2" s="1"/>
  <c r="S63" i="2" s="1"/>
  <c r="X63" i="2" s="1"/>
  <c r="M22" i="2"/>
  <c r="Q22" i="2" s="1"/>
  <c r="K65" i="2" s="1"/>
  <c r="T65" i="2" s="1"/>
  <c r="L21" i="2"/>
  <c r="P21" i="2" s="1"/>
  <c r="J64" i="2" s="1"/>
  <c r="S64" i="2" s="1"/>
  <c r="X64" i="2" s="1"/>
  <c r="K20" i="2"/>
  <c r="O20" i="2" s="1"/>
  <c r="I63" i="2" s="1"/>
  <c r="R63" i="2" s="1"/>
  <c r="W63" i="2" s="1"/>
  <c r="L22" i="2"/>
  <c r="P22" i="2" s="1"/>
  <c r="J65" i="2" s="1"/>
  <c r="S65" i="2" s="1"/>
  <c r="X65" i="2" s="1"/>
  <c r="K21" i="2"/>
  <c r="O21" i="2" s="1"/>
  <c r="I64" i="2" s="1"/>
  <c r="R64" i="2" s="1"/>
  <c r="W64" i="2" s="1"/>
  <c r="J275" i="2" l="1"/>
  <c r="J273" i="2"/>
  <c r="H102" i="2" a="1"/>
  <c r="J276" i="2"/>
  <c r="J274" i="2"/>
  <c r="AS70" i="10"/>
  <c r="AO66" i="10"/>
  <c r="E50" i="10"/>
  <c r="E51" i="10"/>
  <c r="E28" i="10"/>
  <c r="F30" i="10"/>
  <c r="O24" i="10" a="1"/>
  <c r="H90" i="10" a="1"/>
  <c r="E30" i="10"/>
  <c r="F29" i="10"/>
  <c r="H95" i="10" a="1"/>
  <c r="H30" i="10"/>
  <c r="G28" i="10"/>
  <c r="J29" i="10"/>
  <c r="I30" i="10"/>
  <c r="G30" i="10"/>
  <c r="H29" i="10"/>
  <c r="J30" i="10"/>
  <c r="I28" i="10"/>
  <c r="F51" i="10"/>
  <c r="F50" i="10"/>
  <c r="AN65" i="10"/>
  <c r="AR69" i="10"/>
  <c r="AL63" i="10"/>
  <c r="AL73" i="10" s="1" a="1"/>
  <c r="AP67" i="10"/>
  <c r="G51" i="10"/>
  <c r="G50" i="10"/>
  <c r="E28" i="9"/>
  <c r="O24" i="9" a="1"/>
  <c r="F30" i="9"/>
  <c r="H90" i="9" a="1"/>
  <c r="AS70" i="9"/>
  <c r="AO66" i="9"/>
  <c r="O51" i="9"/>
  <c r="M120" i="9" s="1"/>
  <c r="M122" i="9" s="1"/>
  <c r="O126" i="9" s="1"/>
  <c r="P52" i="9"/>
  <c r="P120" i="9" s="1"/>
  <c r="P122" i="9" s="1"/>
  <c r="R126" i="9" s="1"/>
  <c r="P50" i="9"/>
  <c r="L120" i="9" s="1"/>
  <c r="L122" i="9" s="1"/>
  <c r="L126" i="9" s="1"/>
  <c r="O52" i="9"/>
  <c r="O120" i="9" s="1"/>
  <c r="O122" i="9" s="1"/>
  <c r="Q126" i="9" s="1"/>
  <c r="O50" i="9"/>
  <c r="P51" i="9"/>
  <c r="N120" i="9" s="1"/>
  <c r="N122" i="9" s="1"/>
  <c r="P126" i="9" s="1"/>
  <c r="AD65" i="9"/>
  <c r="AH69" i="9"/>
  <c r="AH67" i="9"/>
  <c r="AD63" i="9"/>
  <c r="H30" i="9"/>
  <c r="G28" i="9"/>
  <c r="I30" i="9"/>
  <c r="J29" i="9"/>
  <c r="I109" i="9"/>
  <c r="H108" i="9"/>
  <c r="H109" i="9"/>
  <c r="J107" i="9"/>
  <c r="I108" i="9"/>
  <c r="I107" i="9"/>
  <c r="J109" i="9"/>
  <c r="H107" i="9"/>
  <c r="J108" i="9"/>
  <c r="E30" i="9"/>
  <c r="F29" i="9"/>
  <c r="H95" i="9" a="1"/>
  <c r="L54" i="9" a="1"/>
  <c r="AG67" i="9"/>
  <c r="AC63" i="9"/>
  <c r="AA63" i="9"/>
  <c r="AI68" i="9"/>
  <c r="AE64" i="9"/>
  <c r="H29" i="9"/>
  <c r="G30" i="9"/>
  <c r="I28" i="9"/>
  <c r="J30" i="9"/>
  <c r="AH68" i="9"/>
  <c r="AD64" i="9"/>
  <c r="AI67" i="9"/>
  <c r="AE63" i="9"/>
  <c r="J103" i="9"/>
  <c r="I102" i="9"/>
  <c r="J104" i="9"/>
  <c r="I103" i="9"/>
  <c r="H102" i="9"/>
  <c r="H104" i="9"/>
  <c r="H103" i="9"/>
  <c r="J102" i="9"/>
  <c r="I104" i="9"/>
  <c r="AG68" i="9"/>
  <c r="AC64" i="9"/>
  <c r="AA64" i="9"/>
  <c r="AI69" i="9"/>
  <c r="AE65" i="9"/>
  <c r="AG69" i="9"/>
  <c r="AC65" i="9"/>
  <c r="AA65" i="9"/>
  <c r="J29" i="8"/>
  <c r="I30" i="8"/>
  <c r="O50" i="8" a="1"/>
  <c r="E54" i="8"/>
  <c r="F56" i="8"/>
  <c r="H102" i="8" a="1"/>
  <c r="H55" i="8"/>
  <c r="G56" i="8"/>
  <c r="I54" i="8"/>
  <c r="J56" i="8"/>
  <c r="F29" i="8"/>
  <c r="E30" i="8"/>
  <c r="H95" i="8" a="1"/>
  <c r="AN65" i="8"/>
  <c r="AL73" i="8" s="1" a="1"/>
  <c r="AR69" i="8"/>
  <c r="H30" i="8"/>
  <c r="G28" i="8"/>
  <c r="I56" i="8"/>
  <c r="J55" i="8"/>
  <c r="G30" i="8"/>
  <c r="H29" i="8"/>
  <c r="J30" i="8"/>
  <c r="I28" i="8"/>
  <c r="E56" i="8"/>
  <c r="F55" i="8" a="1"/>
  <c r="F55" i="8" s="1"/>
  <c r="H107" i="8" a="1"/>
  <c r="H56" i="8"/>
  <c r="G54" i="8"/>
  <c r="E28" i="8"/>
  <c r="L28" i="8" s="1" a="1"/>
  <c r="F30" i="8"/>
  <c r="O24" i="8" a="1"/>
  <c r="H90" i="8" a="1"/>
  <c r="AD65" i="7"/>
  <c r="AH69" i="7"/>
  <c r="AG69" i="7"/>
  <c r="AC65" i="7"/>
  <c r="AA65" i="7"/>
  <c r="AC64" i="7"/>
  <c r="AA64" i="7"/>
  <c r="AG68" i="7"/>
  <c r="AH67" i="7"/>
  <c r="AD63" i="7"/>
  <c r="AG67" i="7"/>
  <c r="AC63" i="7"/>
  <c r="AA63" i="7"/>
  <c r="AE64" i="7"/>
  <c r="AI68" i="7"/>
  <c r="E56" i="7"/>
  <c r="F55" i="7" a="1"/>
  <c r="F55" i="7" s="1"/>
  <c r="H107" i="7" a="1"/>
  <c r="I54" i="7"/>
  <c r="J56" i="7"/>
  <c r="H30" i="7"/>
  <c r="G28" i="7"/>
  <c r="E30" i="7"/>
  <c r="F29" i="7"/>
  <c r="H95" i="7" a="1"/>
  <c r="AE65" i="7"/>
  <c r="AI69" i="7"/>
  <c r="O50" i="7" a="1"/>
  <c r="E54" i="7"/>
  <c r="F56" i="7"/>
  <c r="H102" i="7" a="1"/>
  <c r="I56" i="7"/>
  <c r="J55" i="7"/>
  <c r="G30" i="7"/>
  <c r="H29" i="7"/>
  <c r="E28" i="7"/>
  <c r="L28" i="7" s="1" a="1"/>
  <c r="F30" i="7"/>
  <c r="O24" i="7" a="1"/>
  <c r="H90" i="7" a="1"/>
  <c r="AS70" i="7"/>
  <c r="AO66" i="7"/>
  <c r="J29" i="7"/>
  <c r="I30" i="7"/>
  <c r="H56" i="7"/>
  <c r="G54" i="7"/>
  <c r="J30" i="7"/>
  <c r="I28" i="7"/>
  <c r="H55" i="7"/>
  <c r="G56" i="7"/>
  <c r="AD64" i="7"/>
  <c r="AH68" i="7"/>
  <c r="AE63" i="7"/>
  <c r="AI67" i="7"/>
  <c r="Y63" i="2"/>
  <c r="Y65" i="2"/>
  <c r="AI69" i="2" s="1"/>
  <c r="AI68" i="2"/>
  <c r="AE64" i="2"/>
  <c r="AJ69" i="2"/>
  <c r="AF65" i="2"/>
  <c r="AJ67" i="2"/>
  <c r="AF63" i="2"/>
  <c r="AC63" i="2"/>
  <c r="AA63" i="2"/>
  <c r="AG67" i="2"/>
  <c r="O50" i="2" a="1"/>
  <c r="AH68" i="2"/>
  <c r="AD64" i="2"/>
  <c r="AI67" i="2"/>
  <c r="AE63" i="2"/>
  <c r="AA64" i="2"/>
  <c r="AG68" i="2"/>
  <c r="AC64" i="2"/>
  <c r="AE65" i="2"/>
  <c r="AG69" i="2"/>
  <c r="AC65" i="2"/>
  <c r="AJ70" i="2"/>
  <c r="AF66" i="2"/>
  <c r="AG70" i="2"/>
  <c r="AC66" i="2"/>
  <c r="AA66" i="2"/>
  <c r="AH69" i="2"/>
  <c r="AD65" i="2"/>
  <c r="AH67" i="2"/>
  <c r="AD63" i="2"/>
  <c r="AI70" i="2"/>
  <c r="AE66" i="2"/>
  <c r="H107" i="2" a="1"/>
  <c r="H55" i="2"/>
  <c r="G56" i="2"/>
  <c r="H56" i="2"/>
  <c r="G54" i="2"/>
  <c r="I56" i="2"/>
  <c r="J55" i="2"/>
  <c r="F55" i="2" a="1"/>
  <c r="F55" i="2" s="1"/>
  <c r="E56" i="2"/>
  <c r="I54" i="2"/>
  <c r="J56" i="2"/>
  <c r="F56" i="2"/>
  <c r="E54" i="2"/>
  <c r="E24" i="2"/>
  <c r="E25" i="2"/>
  <c r="G24" i="2"/>
  <c r="G25" i="2"/>
  <c r="F25" i="2"/>
  <c r="F24" i="2"/>
  <c r="H103" i="2" l="1"/>
  <c r="J103" i="2"/>
  <c r="H102" i="2"/>
  <c r="I102" i="2"/>
  <c r="I104" i="2"/>
  <c r="H104" i="2"/>
  <c r="J104" i="2"/>
  <c r="J102" i="2"/>
  <c r="I103" i="2"/>
  <c r="H276" i="2"/>
  <c r="H274" i="2"/>
  <c r="H95" i="2" a="1"/>
  <c r="J285" i="2"/>
  <c r="H273" i="2"/>
  <c r="H275" i="2"/>
  <c r="E28" i="2"/>
  <c r="O24" i="2" a="1"/>
  <c r="H90" i="2" a="1"/>
  <c r="AS80" i="10"/>
  <c r="AO80" i="10"/>
  <c r="AS79" i="10"/>
  <c r="AO79" i="10"/>
  <c r="AS78" i="10"/>
  <c r="AO78" i="10"/>
  <c r="AS77" i="10"/>
  <c r="AO77" i="10"/>
  <c r="AS76" i="10"/>
  <c r="AO76" i="10"/>
  <c r="AS75" i="10"/>
  <c r="AO75" i="10"/>
  <c r="AS74" i="10"/>
  <c r="AO74" i="10"/>
  <c r="AS73" i="10"/>
  <c r="AO73" i="10"/>
  <c r="AR80" i="10"/>
  <c r="AN80" i="10"/>
  <c r="AR79" i="10"/>
  <c r="AN79" i="10"/>
  <c r="AR78" i="10"/>
  <c r="AN78" i="10"/>
  <c r="AR77" i="10"/>
  <c r="AN77" i="10"/>
  <c r="AR76" i="10"/>
  <c r="AN76" i="10"/>
  <c r="AR75" i="10"/>
  <c r="AN75" i="10"/>
  <c r="AR74" i="10"/>
  <c r="AN74" i="10"/>
  <c r="AR73" i="10"/>
  <c r="AN73" i="10"/>
  <c r="AQ80" i="10"/>
  <c r="AM80" i="10"/>
  <c r="AQ79" i="10"/>
  <c r="AM79" i="10"/>
  <c r="AQ78" i="10"/>
  <c r="AM78" i="10"/>
  <c r="AQ77" i="10"/>
  <c r="AM77" i="10"/>
  <c r="AQ76" i="10"/>
  <c r="AM76" i="10"/>
  <c r="AQ75" i="10"/>
  <c r="AM75" i="10"/>
  <c r="AQ74" i="10"/>
  <c r="AM74" i="10"/>
  <c r="AQ73" i="10"/>
  <c r="AM73" i="10"/>
  <c r="AP80" i="10"/>
  <c r="AL80" i="10"/>
  <c r="AP79" i="10"/>
  <c r="AL79" i="10"/>
  <c r="AP78" i="10"/>
  <c r="AL78" i="10"/>
  <c r="AP77" i="10"/>
  <c r="AL77" i="10"/>
  <c r="AP76" i="10"/>
  <c r="AL76" i="10"/>
  <c r="AP75" i="10"/>
  <c r="AL75" i="10"/>
  <c r="AP74" i="10"/>
  <c r="AL74" i="10"/>
  <c r="AP73" i="10"/>
  <c r="AL73" i="10"/>
  <c r="H55" i="10"/>
  <c r="G56" i="10"/>
  <c r="J91" i="10"/>
  <c r="I90" i="10"/>
  <c r="J92" i="10"/>
  <c r="I91" i="10"/>
  <c r="H90" i="10"/>
  <c r="J90" i="10"/>
  <c r="I92" i="10"/>
  <c r="H92" i="10"/>
  <c r="H91" i="10"/>
  <c r="E56" i="10"/>
  <c r="F55" i="10" a="1"/>
  <c r="F55" i="10" s="1"/>
  <c r="H107" i="10" a="1"/>
  <c r="I54" i="10"/>
  <c r="J56" i="10"/>
  <c r="H97" i="10"/>
  <c r="J95" i="10"/>
  <c r="J96" i="10"/>
  <c r="I95" i="10"/>
  <c r="I97" i="10"/>
  <c r="I96" i="10"/>
  <c r="H96" i="10"/>
  <c r="J97" i="10"/>
  <c r="H95" i="10"/>
  <c r="P26" i="10"/>
  <c r="P115" i="10" s="1"/>
  <c r="P117" i="10" s="1"/>
  <c r="P125" i="10" s="1"/>
  <c r="P24" i="10"/>
  <c r="L115" i="10" s="1"/>
  <c r="L117" i="10" s="1"/>
  <c r="L125" i="10" s="1"/>
  <c r="O26" i="10"/>
  <c r="O115" i="10" s="1"/>
  <c r="O117" i="10" s="1"/>
  <c r="O125" i="10" s="1"/>
  <c r="O24" i="10"/>
  <c r="P25" i="10"/>
  <c r="N115" i="10" s="1"/>
  <c r="N117" i="10" s="1"/>
  <c r="N125" i="10" s="1"/>
  <c r="O25" i="10"/>
  <c r="M115" i="10" s="1"/>
  <c r="M117" i="10" s="1"/>
  <c r="M125" i="10" s="1"/>
  <c r="O50" i="10" a="1"/>
  <c r="F56" i="10"/>
  <c r="E54" i="10"/>
  <c r="H102" i="10" a="1"/>
  <c r="I56" i="10"/>
  <c r="J55" i="10"/>
  <c r="H56" i="10"/>
  <c r="G54" i="10"/>
  <c r="L28" i="10" a="1"/>
  <c r="I97" i="9"/>
  <c r="H96" i="9"/>
  <c r="H97" i="9"/>
  <c r="J95" i="9"/>
  <c r="J97" i="9"/>
  <c r="H95" i="9"/>
  <c r="J96" i="9"/>
  <c r="I96" i="9"/>
  <c r="I95" i="9"/>
  <c r="H92" i="9"/>
  <c r="J90" i="9"/>
  <c r="J91" i="9"/>
  <c r="I90" i="9"/>
  <c r="H91" i="9"/>
  <c r="J92" i="9"/>
  <c r="H90" i="9"/>
  <c r="I92" i="9"/>
  <c r="I91" i="9"/>
  <c r="AL63" i="9"/>
  <c r="AP67" i="9"/>
  <c r="AR69" i="9"/>
  <c r="AN65" i="9"/>
  <c r="K120" i="9"/>
  <c r="K122" i="9" s="1"/>
  <c r="K126" i="9" s="1"/>
  <c r="R50" i="9" a="1"/>
  <c r="AM64" i="9"/>
  <c r="AQ68" i="9"/>
  <c r="P26" i="9"/>
  <c r="P115" i="9" s="1"/>
  <c r="P117" i="9" s="1"/>
  <c r="P125" i="9" s="1"/>
  <c r="P24" i="9"/>
  <c r="L115" i="9" s="1"/>
  <c r="L117" i="9" s="1"/>
  <c r="L125" i="9" s="1"/>
  <c r="O26" i="9"/>
  <c r="O115" i="9" s="1"/>
  <c r="O117" i="9" s="1"/>
  <c r="O125" i="9" s="1"/>
  <c r="O24" i="9"/>
  <c r="P25" i="9"/>
  <c r="N115" i="9" s="1"/>
  <c r="N117" i="9" s="1"/>
  <c r="N125" i="9" s="1"/>
  <c r="O25" i="9"/>
  <c r="M115" i="9" s="1"/>
  <c r="M117" i="9" s="1"/>
  <c r="M125" i="9" s="1"/>
  <c r="N58" i="9"/>
  <c r="M57" i="9"/>
  <c r="L56" i="9"/>
  <c r="N54" i="9"/>
  <c r="N59" i="9"/>
  <c r="M58" i="9"/>
  <c r="L57" i="9"/>
  <c r="N55" i="9"/>
  <c r="M54" i="9"/>
  <c r="M59" i="9"/>
  <c r="L58" i="9"/>
  <c r="N56" i="9"/>
  <c r="M55" i="9"/>
  <c r="L54" i="9"/>
  <c r="L55" i="9"/>
  <c r="L59" i="9"/>
  <c r="N57" i="9"/>
  <c r="M56" i="9"/>
  <c r="L28" i="9" a="1"/>
  <c r="AS80" i="8"/>
  <c r="AO80" i="8"/>
  <c r="AS79" i="8"/>
  <c r="AO79" i="8"/>
  <c r="AS78" i="8"/>
  <c r="AO78" i="8"/>
  <c r="AS77" i="8"/>
  <c r="AO77" i="8"/>
  <c r="AS76" i="8"/>
  <c r="AO76" i="8"/>
  <c r="AS75" i="8"/>
  <c r="AO75" i="8"/>
  <c r="AS74" i="8"/>
  <c r="AO74" i="8"/>
  <c r="AS73" i="8"/>
  <c r="AO73" i="8"/>
  <c r="AR80" i="8"/>
  <c r="AN80" i="8"/>
  <c r="AR79" i="8"/>
  <c r="AN79" i="8"/>
  <c r="AR78" i="8"/>
  <c r="AN78" i="8"/>
  <c r="AR77" i="8"/>
  <c r="AN77" i="8"/>
  <c r="AR76" i="8"/>
  <c r="AN76" i="8"/>
  <c r="AR75" i="8"/>
  <c r="AN75" i="8"/>
  <c r="AR74" i="8"/>
  <c r="AN74" i="8"/>
  <c r="AR73" i="8"/>
  <c r="AN73" i="8"/>
  <c r="AQ80" i="8"/>
  <c r="AM80" i="8"/>
  <c r="AQ79" i="8"/>
  <c r="AM79" i="8"/>
  <c r="AQ78" i="8"/>
  <c r="AM78" i="8"/>
  <c r="AQ77" i="8"/>
  <c r="AM77" i="8"/>
  <c r="AQ76" i="8"/>
  <c r="AM76" i="8"/>
  <c r="AQ75" i="8"/>
  <c r="AM75" i="8"/>
  <c r="AQ74" i="8"/>
  <c r="AM74" i="8"/>
  <c r="AQ73" i="8"/>
  <c r="AM73" i="8"/>
  <c r="AP80" i="8"/>
  <c r="AP78" i="8"/>
  <c r="AP76" i="8"/>
  <c r="AP74" i="8"/>
  <c r="AL80" i="8"/>
  <c r="AL78" i="8"/>
  <c r="AL76" i="8"/>
  <c r="AL74" i="8"/>
  <c r="AL77" i="8"/>
  <c r="AL73" i="8"/>
  <c r="AP79" i="8"/>
  <c r="AP75" i="8"/>
  <c r="AL79" i="8"/>
  <c r="AL75" i="8"/>
  <c r="AP77" i="8"/>
  <c r="AP73" i="8"/>
  <c r="M33" i="8"/>
  <c r="L32" i="8"/>
  <c r="N30" i="8"/>
  <c r="M29" i="8"/>
  <c r="L28" i="8"/>
  <c r="M32" i="8"/>
  <c r="M30" i="8"/>
  <c r="N33" i="8"/>
  <c r="N31" i="8"/>
  <c r="L30" i="8"/>
  <c r="M28" i="8"/>
  <c r="L29" i="8"/>
  <c r="L33" i="8"/>
  <c r="M31" i="8"/>
  <c r="N29" i="8"/>
  <c r="N32" i="8"/>
  <c r="L31" i="8"/>
  <c r="N28" i="8"/>
  <c r="P26" i="8"/>
  <c r="P115" i="8" s="1"/>
  <c r="P117" i="8" s="1"/>
  <c r="P125" i="8" s="1"/>
  <c r="P25" i="8"/>
  <c r="N115" i="8" s="1"/>
  <c r="N117" i="8" s="1"/>
  <c r="N125" i="8" s="1"/>
  <c r="O26" i="8"/>
  <c r="O115" i="8" s="1"/>
  <c r="O117" i="8" s="1"/>
  <c r="O125" i="8" s="1"/>
  <c r="O25" i="8"/>
  <c r="M115" i="8" s="1"/>
  <c r="M117" i="8" s="1"/>
  <c r="M125" i="8" s="1"/>
  <c r="P24" i="8"/>
  <c r="L115" i="8" s="1"/>
  <c r="L117" i="8" s="1"/>
  <c r="L125" i="8" s="1"/>
  <c r="O24" i="8"/>
  <c r="L54" i="8" a="1"/>
  <c r="I109" i="8"/>
  <c r="H108" i="8"/>
  <c r="J108" i="8"/>
  <c r="I107" i="8"/>
  <c r="J107" i="8"/>
  <c r="J109" i="8"/>
  <c r="H107" i="8"/>
  <c r="H109" i="8"/>
  <c r="I108" i="8"/>
  <c r="P51" i="8"/>
  <c r="N120" i="8" s="1"/>
  <c r="N122" i="8" s="1"/>
  <c r="P126" i="8" s="1"/>
  <c r="O51" i="8"/>
  <c r="M120" i="8" s="1"/>
  <c r="M122" i="8" s="1"/>
  <c r="O126" i="8" s="1"/>
  <c r="O50" i="8"/>
  <c r="P52" i="8"/>
  <c r="P120" i="8" s="1"/>
  <c r="P122" i="8" s="1"/>
  <c r="R126" i="8" s="1"/>
  <c r="O52" i="8"/>
  <c r="O120" i="8" s="1"/>
  <c r="O122" i="8" s="1"/>
  <c r="Q126" i="8" s="1"/>
  <c r="P50" i="8"/>
  <c r="L120" i="8" s="1"/>
  <c r="L122" i="8" s="1"/>
  <c r="L126" i="8" s="1"/>
  <c r="I97" i="8"/>
  <c r="H96" i="8"/>
  <c r="J96" i="8"/>
  <c r="I95" i="8"/>
  <c r="H97" i="8"/>
  <c r="I96" i="8"/>
  <c r="J95" i="8"/>
  <c r="J97" i="8"/>
  <c r="H95" i="8"/>
  <c r="J103" i="8"/>
  <c r="I102" i="8"/>
  <c r="I104" i="8"/>
  <c r="H103" i="8"/>
  <c r="I103" i="8"/>
  <c r="J102" i="8"/>
  <c r="J104" i="8"/>
  <c r="H102" i="8"/>
  <c r="H104" i="8"/>
  <c r="H92" i="8"/>
  <c r="J90" i="8"/>
  <c r="J92" i="8"/>
  <c r="I91" i="8"/>
  <c r="H90" i="8"/>
  <c r="I90" i="8"/>
  <c r="I92" i="8"/>
  <c r="J91" i="8"/>
  <c r="H91" i="8"/>
  <c r="M33" i="7"/>
  <c r="L32" i="7"/>
  <c r="N30" i="7"/>
  <c r="M29" i="7"/>
  <c r="L28" i="7"/>
  <c r="L33" i="7"/>
  <c r="N31" i="7"/>
  <c r="M30" i="7"/>
  <c r="L29" i="7"/>
  <c r="N32" i="7"/>
  <c r="M31" i="7"/>
  <c r="L30" i="7"/>
  <c r="N28" i="7"/>
  <c r="L31" i="7"/>
  <c r="N29" i="7"/>
  <c r="N33" i="7"/>
  <c r="M28" i="7"/>
  <c r="M32" i="7"/>
  <c r="H92" i="7"/>
  <c r="J90" i="7"/>
  <c r="J92" i="7"/>
  <c r="I91" i="7"/>
  <c r="H90" i="7"/>
  <c r="L90" i="7" s="1" a="1"/>
  <c r="I92" i="7"/>
  <c r="J91" i="7"/>
  <c r="H91" i="7"/>
  <c r="I90" i="7"/>
  <c r="AQ68" i="7"/>
  <c r="AM64" i="7"/>
  <c r="P26" i="7"/>
  <c r="P115" i="7" s="1"/>
  <c r="P117" i="7" s="1"/>
  <c r="P125" i="7" s="1"/>
  <c r="P24" i="7"/>
  <c r="L115" i="7" s="1"/>
  <c r="L117" i="7" s="1"/>
  <c r="L125" i="7" s="1"/>
  <c r="O26" i="7"/>
  <c r="O115" i="7" s="1"/>
  <c r="O117" i="7" s="1"/>
  <c r="O125" i="7" s="1"/>
  <c r="O24" i="7"/>
  <c r="P25" i="7"/>
  <c r="N115" i="7" s="1"/>
  <c r="N117" i="7" s="1"/>
  <c r="N125" i="7" s="1"/>
  <c r="O25" i="7"/>
  <c r="M115" i="7" s="1"/>
  <c r="M117" i="7" s="1"/>
  <c r="M125" i="7" s="1"/>
  <c r="I109" i="7"/>
  <c r="H108" i="7"/>
  <c r="H109" i="7"/>
  <c r="J108" i="7"/>
  <c r="I107" i="7"/>
  <c r="H107" i="7"/>
  <c r="J109" i="7"/>
  <c r="I108" i="7"/>
  <c r="J107" i="7"/>
  <c r="P51" i="7"/>
  <c r="N120" i="7" s="1"/>
  <c r="N122" i="7" s="1"/>
  <c r="P126" i="7" s="1"/>
  <c r="O51" i="7"/>
  <c r="M120" i="7" s="1"/>
  <c r="M122" i="7" s="1"/>
  <c r="O126" i="7" s="1"/>
  <c r="P50" i="7"/>
  <c r="L120" i="7" s="1"/>
  <c r="L122" i="7" s="1"/>
  <c r="L126" i="7" s="1"/>
  <c r="P52" i="7"/>
  <c r="P120" i="7" s="1"/>
  <c r="P122" i="7" s="1"/>
  <c r="R126" i="7" s="1"/>
  <c r="O52" i="7"/>
  <c r="O120" i="7" s="1"/>
  <c r="O122" i="7" s="1"/>
  <c r="Q126" i="7" s="1"/>
  <c r="O50" i="7"/>
  <c r="J103" i="7"/>
  <c r="I102" i="7"/>
  <c r="I104" i="7"/>
  <c r="H103" i="7"/>
  <c r="J102" i="7"/>
  <c r="J104" i="7"/>
  <c r="H102" i="7"/>
  <c r="H104" i="7"/>
  <c r="I103" i="7"/>
  <c r="L54" i="7" a="1"/>
  <c r="I97" i="7"/>
  <c r="H96" i="7"/>
  <c r="J96" i="7"/>
  <c r="I95" i="7"/>
  <c r="I96" i="7"/>
  <c r="J95" i="7"/>
  <c r="J97" i="7"/>
  <c r="H97" i="7"/>
  <c r="H95" i="7"/>
  <c r="AP67" i="7"/>
  <c r="AL63" i="7"/>
  <c r="AR69" i="7"/>
  <c r="AN65" i="7"/>
  <c r="AA65" i="2"/>
  <c r="AR69" i="2" s="1"/>
  <c r="AS70" i="2"/>
  <c r="AO66" i="2"/>
  <c r="AP67" i="2"/>
  <c r="AL63" i="2"/>
  <c r="H107" i="2"/>
  <c r="J108" i="2"/>
  <c r="I108" i="2"/>
  <c r="I107" i="2"/>
  <c r="I109" i="2"/>
  <c r="J107" i="2"/>
  <c r="J109" i="2"/>
  <c r="N104" i="2" s="1"/>
  <c r="O109" i="2" s="1"/>
  <c r="T97" i="2" s="1"/>
  <c r="H108" i="2"/>
  <c r="H109" i="2"/>
  <c r="AN65" i="2"/>
  <c r="M104" i="2"/>
  <c r="N109" i="2" s="1"/>
  <c r="S97" i="2" s="1"/>
  <c r="P51" i="2"/>
  <c r="N120" i="2" s="1"/>
  <c r="N122" i="2" s="1"/>
  <c r="W122" i="2" s="1"/>
  <c r="P126" i="2" s="1"/>
  <c r="P50" i="2"/>
  <c r="L120" i="2" s="1"/>
  <c r="L122" i="2" s="1"/>
  <c r="S122" i="2" s="1"/>
  <c r="L126" i="2" s="1"/>
  <c r="O50" i="2"/>
  <c r="P52" i="2"/>
  <c r="P120" i="2" s="1"/>
  <c r="P122" i="2" s="1"/>
  <c r="Y122" i="2" s="1"/>
  <c r="R126" i="2" s="1"/>
  <c r="O52" i="2"/>
  <c r="O120" i="2" s="1"/>
  <c r="O122" i="2" s="1"/>
  <c r="X122" i="2" s="1"/>
  <c r="Q126" i="2" s="1"/>
  <c r="O51" i="2"/>
  <c r="M120" i="2" s="1"/>
  <c r="M122" i="2" s="1"/>
  <c r="V122" i="2" s="1"/>
  <c r="O126" i="2" s="1"/>
  <c r="AQ68" i="2"/>
  <c r="AM64" i="2"/>
  <c r="L54" i="2" a="1"/>
  <c r="M59" i="2" s="1"/>
  <c r="I28" i="2"/>
  <c r="J30" i="2"/>
  <c r="F30" i="2"/>
  <c r="G28" i="2"/>
  <c r="H30" i="2"/>
  <c r="G30" i="2"/>
  <c r="H29" i="2"/>
  <c r="I30" i="2"/>
  <c r="J29" i="2"/>
  <c r="E30" i="2"/>
  <c r="F29" i="2"/>
  <c r="J291" i="2" l="1"/>
  <c r="J294" i="2" s="1"/>
  <c r="H95" i="2"/>
  <c r="J95" i="2"/>
  <c r="I96" i="2"/>
  <c r="M91" i="2" s="1"/>
  <c r="M95" i="2" s="1"/>
  <c r="R95" i="2" s="1"/>
  <c r="I97" i="2"/>
  <c r="M92" i="2" s="1"/>
  <c r="M96" i="2" s="1"/>
  <c r="R96" i="2" s="1"/>
  <c r="J96" i="2"/>
  <c r="H96" i="2"/>
  <c r="I95" i="2"/>
  <c r="M90" i="2" s="1"/>
  <c r="M94" i="2" s="1"/>
  <c r="R94" i="2" s="1"/>
  <c r="H97" i="2"/>
  <c r="J97" i="2"/>
  <c r="H90" i="2"/>
  <c r="L90" i="2" s="1" a="1"/>
  <c r="L90" i="2" s="1"/>
  <c r="L94" i="2" s="1"/>
  <c r="I92" i="2"/>
  <c r="H91" i="2"/>
  <c r="I90" i="2"/>
  <c r="J90" i="2"/>
  <c r="H92" i="2"/>
  <c r="L92" i="2" s="1"/>
  <c r="L96" i="2" s="1"/>
  <c r="J91" i="2"/>
  <c r="J92" i="2"/>
  <c r="I91" i="2"/>
  <c r="H285" i="2"/>
  <c r="O24" i="2"/>
  <c r="R24" i="2" s="1" a="1"/>
  <c r="P24" i="2"/>
  <c r="P25" i="2"/>
  <c r="O26" i="2"/>
  <c r="O115" i="2" s="1"/>
  <c r="O117" i="2" s="1"/>
  <c r="V117" i="2" s="1"/>
  <c r="O125" i="2" s="1"/>
  <c r="O25" i="2"/>
  <c r="M115" i="2" s="1"/>
  <c r="P26" i="2"/>
  <c r="M33" i="10"/>
  <c r="L32" i="10"/>
  <c r="N30" i="10"/>
  <c r="M29" i="10"/>
  <c r="L28" i="10"/>
  <c r="L33" i="10"/>
  <c r="N31" i="10"/>
  <c r="M30" i="10"/>
  <c r="L29" i="10"/>
  <c r="N33" i="10"/>
  <c r="L31" i="10"/>
  <c r="M28" i="10"/>
  <c r="N32" i="10"/>
  <c r="L30" i="10"/>
  <c r="M31" i="10"/>
  <c r="N28" i="10"/>
  <c r="M32" i="10"/>
  <c r="N29" i="10"/>
  <c r="P51" i="10"/>
  <c r="N120" i="10" s="1"/>
  <c r="N122" i="10" s="1"/>
  <c r="P126" i="10" s="1"/>
  <c r="O51" i="10"/>
  <c r="M120" i="10" s="1"/>
  <c r="M122" i="10" s="1"/>
  <c r="O126" i="10" s="1"/>
  <c r="O52" i="10"/>
  <c r="O120" i="10" s="1"/>
  <c r="O122" i="10" s="1"/>
  <c r="Q126" i="10" s="1"/>
  <c r="P50" i="10"/>
  <c r="L120" i="10" s="1"/>
  <c r="L122" i="10" s="1"/>
  <c r="L126" i="10" s="1"/>
  <c r="O50" i="10"/>
  <c r="P52" i="10"/>
  <c r="P120" i="10" s="1"/>
  <c r="P122" i="10" s="1"/>
  <c r="R126" i="10" s="1"/>
  <c r="J103" i="10"/>
  <c r="I102" i="10"/>
  <c r="J104" i="10"/>
  <c r="I103" i="10"/>
  <c r="H102" i="10"/>
  <c r="I104" i="10"/>
  <c r="H103" i="10"/>
  <c r="H104" i="10"/>
  <c r="J102" i="10"/>
  <c r="L90" i="10" a="1"/>
  <c r="L54" i="10" a="1"/>
  <c r="I109" i="10"/>
  <c r="H108" i="10"/>
  <c r="H109" i="10"/>
  <c r="J107" i="10"/>
  <c r="J108" i="10"/>
  <c r="I107" i="10"/>
  <c r="J109" i="10"/>
  <c r="I108" i="10"/>
  <c r="H107" i="10"/>
  <c r="K115" i="10"/>
  <c r="K117" i="10" s="1" a="1"/>
  <c r="K117" i="10" s="1"/>
  <c r="K125" i="10" s="1"/>
  <c r="R24" i="10" a="1"/>
  <c r="N32" i="9"/>
  <c r="M31" i="9"/>
  <c r="L30" i="9"/>
  <c r="L33" i="9"/>
  <c r="L31" i="9"/>
  <c r="M29" i="9"/>
  <c r="L28" i="9"/>
  <c r="M32" i="9"/>
  <c r="N30" i="9"/>
  <c r="L29" i="9"/>
  <c r="N33" i="9"/>
  <c r="L32" i="9"/>
  <c r="N28" i="9"/>
  <c r="M30" i="9"/>
  <c r="M28" i="9"/>
  <c r="N31" i="9"/>
  <c r="N29" i="9"/>
  <c r="M33" i="9"/>
  <c r="P54" i="9" a="1"/>
  <c r="K115" i="9"/>
  <c r="K117" i="9" s="1" a="1"/>
  <c r="K117" i="9" s="1"/>
  <c r="K125" i="9" s="1"/>
  <c r="T125" i="9" s="1" a="1"/>
  <c r="R24" i="9" a="1"/>
  <c r="S52" i="9"/>
  <c r="W52" i="9" s="1"/>
  <c r="R51" i="9"/>
  <c r="R52" i="9"/>
  <c r="V52" i="9" s="1"/>
  <c r="T50" i="9"/>
  <c r="X50" i="9" s="1"/>
  <c r="T51" i="9"/>
  <c r="X51" i="9" s="1"/>
  <c r="S50" i="9"/>
  <c r="W50" i="9" s="1"/>
  <c r="T52" i="9"/>
  <c r="X52" i="9" s="1"/>
  <c r="S51" i="9"/>
  <c r="W51" i="9" s="1"/>
  <c r="R50" i="9"/>
  <c r="V50" i="9" s="1"/>
  <c r="AL73" i="9" a="1"/>
  <c r="L59" i="8"/>
  <c r="N57" i="8"/>
  <c r="M56" i="8"/>
  <c r="L55" i="8"/>
  <c r="N58" i="8"/>
  <c r="M57" i="8"/>
  <c r="L56" i="8"/>
  <c r="N54" i="8"/>
  <c r="L58" i="8"/>
  <c r="M55" i="8"/>
  <c r="N59" i="8"/>
  <c r="L57" i="8"/>
  <c r="M54" i="8"/>
  <c r="M59" i="8"/>
  <c r="N56" i="8"/>
  <c r="L54" i="8"/>
  <c r="P54" i="8" s="1" a="1"/>
  <c r="M58" i="8"/>
  <c r="N55" i="8"/>
  <c r="K115" i="8"/>
  <c r="K117" i="8" s="1" a="1"/>
  <c r="K117" i="8" s="1"/>
  <c r="K125" i="8" s="1"/>
  <c r="R24" i="8" a="1"/>
  <c r="K120" i="8"/>
  <c r="K122" i="8" s="1"/>
  <c r="K126" i="8" s="1"/>
  <c r="R50" i="8" a="1"/>
  <c r="P28" i="8" a="1"/>
  <c r="L90" i="8" a="1"/>
  <c r="L59" i="7"/>
  <c r="N57" i="7"/>
  <c r="M56" i="7"/>
  <c r="L55" i="7"/>
  <c r="N58" i="7"/>
  <c r="M57" i="7"/>
  <c r="L56" i="7"/>
  <c r="N54" i="7"/>
  <c r="M58" i="7"/>
  <c r="N55" i="7"/>
  <c r="N59" i="7"/>
  <c r="M54" i="7"/>
  <c r="N56" i="7"/>
  <c r="L54" i="7"/>
  <c r="L58" i="7"/>
  <c r="M55" i="7"/>
  <c r="L57" i="7"/>
  <c r="M59" i="7"/>
  <c r="AL73" i="7" a="1"/>
  <c r="K120" i="7"/>
  <c r="K122" i="7" s="1"/>
  <c r="K126" i="7" s="1"/>
  <c r="R50" i="7" a="1"/>
  <c r="K115" i="7"/>
  <c r="K117" i="7" s="1" a="1"/>
  <c r="K117" i="7" s="1"/>
  <c r="K125" i="7" s="1"/>
  <c r="T125" i="7" s="1" a="1"/>
  <c r="R24" i="7" a="1"/>
  <c r="P28" i="7" a="1"/>
  <c r="M58" i="2"/>
  <c r="N102" i="2"/>
  <c r="O106" i="2" s="1"/>
  <c r="T94" i="2" s="1"/>
  <c r="X106" i="2" s="1"/>
  <c r="M102" i="2"/>
  <c r="N106" i="2" s="1"/>
  <c r="N103" i="2"/>
  <c r="O108" i="2" s="1"/>
  <c r="T96" i="2" s="1"/>
  <c r="T104" i="2" s="1"/>
  <c r="L102" i="2"/>
  <c r="L106" i="2" s="1"/>
  <c r="AL73" i="2" a="1"/>
  <c r="AN77" i="2" s="1"/>
  <c r="N54" i="2"/>
  <c r="M55" i="2"/>
  <c r="M103" i="2"/>
  <c r="N108" i="2" s="1"/>
  <c r="L57" i="2"/>
  <c r="M54" i="2"/>
  <c r="N59" i="2"/>
  <c r="M57" i="2"/>
  <c r="L91" i="2"/>
  <c r="L95" i="2" s="1"/>
  <c r="Q95" i="2" s="1"/>
  <c r="N90" i="2"/>
  <c r="N94" i="2" s="1"/>
  <c r="N92" i="2"/>
  <c r="N96" i="2" s="1"/>
  <c r="N91" i="2"/>
  <c r="N95" i="2" s="1"/>
  <c r="S95" i="2" s="1"/>
  <c r="X109" i="2"/>
  <c r="T105" i="2"/>
  <c r="L104" i="2"/>
  <c r="L109" i="2" s="1"/>
  <c r="Q97" i="2" s="1"/>
  <c r="L55" i="2"/>
  <c r="L56" i="2"/>
  <c r="N56" i="2"/>
  <c r="L58" i="2"/>
  <c r="N58" i="2"/>
  <c r="L54" i="2"/>
  <c r="N57" i="2"/>
  <c r="K120" i="2"/>
  <c r="K122" i="2" s="1"/>
  <c r="R122" i="2" s="1"/>
  <c r="K126" i="2" s="1"/>
  <c r="R50" i="2" a="1"/>
  <c r="N115" i="2"/>
  <c r="N117" i="2" s="1"/>
  <c r="U117" i="2" s="1"/>
  <c r="N125" i="2" s="1"/>
  <c r="L115" i="2"/>
  <c r="L117" i="2" s="1"/>
  <c r="S117" i="2" s="1"/>
  <c r="L125" i="2" s="1"/>
  <c r="K115" i="2"/>
  <c r="P115" i="2"/>
  <c r="P117" i="2" s="1"/>
  <c r="W117" i="2" s="1"/>
  <c r="P125" i="2" s="1"/>
  <c r="N55" i="2"/>
  <c r="M56" i="2"/>
  <c r="L59" i="2"/>
  <c r="L103" i="2"/>
  <c r="L108" i="2" s="1"/>
  <c r="W109" i="2"/>
  <c r="S105" i="2"/>
  <c r="L28" i="2" a="1"/>
  <c r="S94" i="2" l="1"/>
  <c r="W106" i="2" s="1"/>
  <c r="S96" i="2"/>
  <c r="S104" i="2" s="1"/>
  <c r="H291" i="2"/>
  <c r="H294" i="2" s="1"/>
  <c r="K117" i="2" a="1"/>
  <c r="K117" i="2" s="1"/>
  <c r="R117" i="2" s="1"/>
  <c r="K125" i="2" s="1"/>
  <c r="AL73" i="2"/>
  <c r="R24" i="2"/>
  <c r="V24" i="2" s="1"/>
  <c r="T25" i="2"/>
  <c r="S25" i="2"/>
  <c r="S26" i="2"/>
  <c r="S24" i="2"/>
  <c r="R25" i="2"/>
  <c r="T24" i="2"/>
  <c r="R26" i="2"/>
  <c r="T26" i="2"/>
  <c r="P28" i="10" a="1"/>
  <c r="R26" i="10"/>
  <c r="V26" i="10" s="1"/>
  <c r="T24" i="10"/>
  <c r="X24" i="10" s="1"/>
  <c r="T25" i="10"/>
  <c r="X25" i="10" s="1"/>
  <c r="S24" i="10"/>
  <c r="W24" i="10" s="1"/>
  <c r="S26" i="10"/>
  <c r="W26" i="10" s="1"/>
  <c r="S25" i="10"/>
  <c r="W25" i="10" s="1"/>
  <c r="T26" i="10"/>
  <c r="X26" i="10" s="1"/>
  <c r="R24" i="10"/>
  <c r="V24" i="10" s="1"/>
  <c r="R25" i="10"/>
  <c r="V25" i="10" s="1"/>
  <c r="K120" i="10"/>
  <c r="K122" i="10" s="1"/>
  <c r="K126" i="10" s="1"/>
  <c r="R50" i="10" a="1"/>
  <c r="T125" i="10" a="1"/>
  <c r="L59" i="10"/>
  <c r="N57" i="10"/>
  <c r="M56" i="10"/>
  <c r="L55" i="10"/>
  <c r="N58" i="10"/>
  <c r="M57" i="10"/>
  <c r="L56" i="10"/>
  <c r="N54" i="10"/>
  <c r="M59" i="10"/>
  <c r="N56" i="10"/>
  <c r="L54" i="10"/>
  <c r="P54" i="10" s="1" a="1"/>
  <c r="M58" i="10"/>
  <c r="N55" i="10"/>
  <c r="N59" i="10"/>
  <c r="L57" i="10"/>
  <c r="L58" i="10"/>
  <c r="M55" i="10"/>
  <c r="M54" i="10"/>
  <c r="U59" i="9"/>
  <c r="AB59" i="9" s="1"/>
  <c r="Q59" i="9"/>
  <c r="X59" i="9" s="1"/>
  <c r="S58" i="9"/>
  <c r="Z58" i="9" s="1"/>
  <c r="U57" i="9"/>
  <c r="AB57" i="9" s="1"/>
  <c r="Q57" i="9"/>
  <c r="X57" i="9" s="1"/>
  <c r="S56" i="9"/>
  <c r="Z56" i="9" s="1"/>
  <c r="U55" i="9"/>
  <c r="AB55" i="9" s="1"/>
  <c r="Q55" i="9"/>
  <c r="X55" i="9" s="1"/>
  <c r="S54" i="9"/>
  <c r="Z54" i="9" s="1"/>
  <c r="T59" i="9"/>
  <c r="AA59" i="9" s="1"/>
  <c r="P59" i="9"/>
  <c r="W59" i="9" s="1"/>
  <c r="R58" i="9"/>
  <c r="Y58" i="9" s="1"/>
  <c r="T57" i="9"/>
  <c r="AA57" i="9" s="1"/>
  <c r="P57" i="9"/>
  <c r="W57" i="9" s="1"/>
  <c r="R56" i="9"/>
  <c r="Y56" i="9" s="1"/>
  <c r="T55" i="9"/>
  <c r="AA55" i="9" s="1"/>
  <c r="P55" i="9"/>
  <c r="W55" i="9" s="1"/>
  <c r="R54" i="9"/>
  <c r="Y54" i="9" s="1"/>
  <c r="S59" i="9"/>
  <c r="Z59" i="9" s="1"/>
  <c r="U58" i="9"/>
  <c r="AB58" i="9" s="1"/>
  <c r="Q58" i="9"/>
  <c r="X58" i="9" s="1"/>
  <c r="S57" i="9"/>
  <c r="Z57" i="9" s="1"/>
  <c r="U56" i="9"/>
  <c r="AB56" i="9" s="1"/>
  <c r="Q56" i="9"/>
  <c r="X56" i="9" s="1"/>
  <c r="S55" i="9"/>
  <c r="Z55" i="9" s="1"/>
  <c r="U54" i="9"/>
  <c r="AB54" i="9" s="1"/>
  <c r="Q54" i="9"/>
  <c r="X54" i="9" s="1"/>
  <c r="R59" i="9"/>
  <c r="Y59" i="9" s="1"/>
  <c r="T56" i="9"/>
  <c r="AA56" i="9" s="1"/>
  <c r="P54" i="9"/>
  <c r="W54" i="9" s="1"/>
  <c r="P58" i="9"/>
  <c r="W58" i="9" s="1"/>
  <c r="R55" i="9"/>
  <c r="Y55" i="9" s="1"/>
  <c r="T58" i="9"/>
  <c r="AA58" i="9" s="1"/>
  <c r="P56" i="9"/>
  <c r="W56" i="9" s="1"/>
  <c r="R57" i="9"/>
  <c r="Y57" i="9" s="1"/>
  <c r="T54" i="9"/>
  <c r="AA54" i="9" s="1"/>
  <c r="P28" i="9" a="1"/>
  <c r="AR80" i="9"/>
  <c r="AN80" i="9"/>
  <c r="AR79" i="9"/>
  <c r="AN79" i="9"/>
  <c r="AR78" i="9"/>
  <c r="AN78" i="9"/>
  <c r="AR77" i="9"/>
  <c r="AN77" i="9"/>
  <c r="AR76" i="9"/>
  <c r="AN76" i="9"/>
  <c r="AR75" i="9"/>
  <c r="AN75" i="9"/>
  <c r="AR74" i="9"/>
  <c r="AN74" i="9"/>
  <c r="AR73" i="9"/>
  <c r="AN73" i="9"/>
  <c r="AQ80" i="9"/>
  <c r="AM80" i="9"/>
  <c r="AQ79" i="9"/>
  <c r="AM79" i="9"/>
  <c r="AP80" i="9"/>
  <c r="AL80" i="9"/>
  <c r="AP79" i="9"/>
  <c r="AL79" i="9"/>
  <c r="AP78" i="9"/>
  <c r="AL78" i="9"/>
  <c r="AP77" i="9"/>
  <c r="AL77" i="9"/>
  <c r="AP76" i="9"/>
  <c r="AL76" i="9"/>
  <c r="AP75" i="9"/>
  <c r="AL75" i="9"/>
  <c r="AP74" i="9"/>
  <c r="AL74" i="9"/>
  <c r="AP73" i="9"/>
  <c r="AL73" i="9"/>
  <c r="AS79" i="9"/>
  <c r="AO78" i="9"/>
  <c r="AO77" i="9"/>
  <c r="AO76" i="9"/>
  <c r="AO75" i="9"/>
  <c r="AO74" i="9"/>
  <c r="AO73" i="9"/>
  <c r="AO79" i="9"/>
  <c r="AM78" i="9"/>
  <c r="AM77" i="9"/>
  <c r="AM76" i="9"/>
  <c r="AM75" i="9"/>
  <c r="AM74" i="9"/>
  <c r="AM73" i="9"/>
  <c r="AS80" i="9"/>
  <c r="AS78" i="9"/>
  <c r="AS77" i="9"/>
  <c r="AS76" i="9"/>
  <c r="AS75" i="9"/>
  <c r="AS74" i="9"/>
  <c r="AS73" i="9"/>
  <c r="AQ78" i="9"/>
  <c r="AQ74" i="9"/>
  <c r="AQ76" i="9"/>
  <c r="AO80" i="9"/>
  <c r="AQ75" i="9"/>
  <c r="AQ77" i="9"/>
  <c r="AQ73" i="9"/>
  <c r="R26" i="9"/>
  <c r="V26" i="9" s="1"/>
  <c r="T24" i="9"/>
  <c r="X24" i="9" s="1"/>
  <c r="T25" i="9"/>
  <c r="X25" i="9" s="1"/>
  <c r="S24" i="9"/>
  <c r="W24" i="9" s="1"/>
  <c r="T26" i="9"/>
  <c r="X26" i="9" s="1"/>
  <c r="S25" i="9"/>
  <c r="W25" i="9" s="1"/>
  <c r="R24" i="9"/>
  <c r="V24" i="9" s="1"/>
  <c r="S26" i="9"/>
  <c r="W26" i="9" s="1"/>
  <c r="R25" i="9"/>
  <c r="V25" i="9" s="1"/>
  <c r="U131" i="9"/>
  <c r="U129" i="9"/>
  <c r="U127" i="9"/>
  <c r="U125" i="9"/>
  <c r="T131" i="9"/>
  <c r="T129" i="9"/>
  <c r="T127" i="9"/>
  <c r="T125" i="9"/>
  <c r="T130" i="9"/>
  <c r="T126" i="9"/>
  <c r="U132" i="9"/>
  <c r="U128" i="9"/>
  <c r="T132" i="9"/>
  <c r="T128" i="9"/>
  <c r="U130" i="9"/>
  <c r="U126" i="9"/>
  <c r="S33" i="8"/>
  <c r="Z33" i="8" s="1"/>
  <c r="U32" i="8"/>
  <c r="AB32" i="8" s="1"/>
  <c r="Q32" i="8"/>
  <c r="X32" i="8" s="1"/>
  <c r="S31" i="8"/>
  <c r="Z31" i="8" s="1"/>
  <c r="U30" i="8"/>
  <c r="AB30" i="8" s="1"/>
  <c r="Q30" i="8"/>
  <c r="X30" i="8" s="1"/>
  <c r="S29" i="8"/>
  <c r="Z29" i="8" s="1"/>
  <c r="U28" i="8"/>
  <c r="AB28" i="8" s="1"/>
  <c r="Q28" i="8"/>
  <c r="X28" i="8" s="1"/>
  <c r="R33" i="8"/>
  <c r="Y33" i="8" s="1"/>
  <c r="T32" i="8"/>
  <c r="AA32" i="8" s="1"/>
  <c r="P32" i="8"/>
  <c r="W32" i="8" s="1"/>
  <c r="R31" i="8"/>
  <c r="Y31" i="8" s="1"/>
  <c r="T30" i="8"/>
  <c r="AA30" i="8" s="1"/>
  <c r="P30" i="8"/>
  <c r="W30" i="8" s="1"/>
  <c r="R29" i="8"/>
  <c r="Y29" i="8" s="1"/>
  <c r="T28" i="8"/>
  <c r="AA28" i="8" s="1"/>
  <c r="P28" i="8"/>
  <c r="W28" i="8" s="1"/>
  <c r="Q33" i="8"/>
  <c r="X33" i="8" s="1"/>
  <c r="U31" i="8"/>
  <c r="AB31" i="8" s="1"/>
  <c r="S30" i="8"/>
  <c r="Z30" i="8" s="1"/>
  <c r="Q29" i="8"/>
  <c r="X29" i="8" s="1"/>
  <c r="P33" i="8"/>
  <c r="W33" i="8" s="1"/>
  <c r="T31" i="8"/>
  <c r="AA31" i="8" s="1"/>
  <c r="R30" i="8"/>
  <c r="Y30" i="8" s="1"/>
  <c r="P29" i="8"/>
  <c r="W29" i="8" s="1"/>
  <c r="R28" i="8"/>
  <c r="Y28" i="8" s="1"/>
  <c r="U33" i="8"/>
  <c r="AB33" i="8" s="1"/>
  <c r="S32" i="8"/>
  <c r="Z32" i="8" s="1"/>
  <c r="Q31" i="8"/>
  <c r="X31" i="8" s="1"/>
  <c r="U29" i="8"/>
  <c r="AB29" i="8" s="1"/>
  <c r="S28" i="8"/>
  <c r="Z28" i="8" s="1"/>
  <c r="T33" i="8"/>
  <c r="AA33" i="8" s="1"/>
  <c r="R32" i="8"/>
  <c r="Y32" i="8" s="1"/>
  <c r="P31" i="8"/>
  <c r="W31" i="8" s="1"/>
  <c r="T29" i="8"/>
  <c r="AA29" i="8" s="1"/>
  <c r="T52" i="8"/>
  <c r="X52" i="8" s="1"/>
  <c r="S51" i="8"/>
  <c r="W51" i="8" s="1"/>
  <c r="R50" i="8"/>
  <c r="V50" i="8" s="1"/>
  <c r="S52" i="8"/>
  <c r="W52" i="8" s="1"/>
  <c r="R51" i="8"/>
  <c r="S50" i="8"/>
  <c r="W50" i="8" s="1"/>
  <c r="R52" i="8"/>
  <c r="V52" i="8" s="1"/>
  <c r="T51" i="8"/>
  <c r="X51" i="8" s="1"/>
  <c r="T50" i="8"/>
  <c r="X50" i="8" s="1"/>
  <c r="R26" i="8"/>
  <c r="V26" i="8" s="1"/>
  <c r="T24" i="8"/>
  <c r="X24" i="8" s="1"/>
  <c r="R25" i="8"/>
  <c r="V25" i="8" s="1"/>
  <c r="S26" i="8"/>
  <c r="W26" i="8" s="1"/>
  <c r="S24" i="8"/>
  <c r="W24" i="8" s="1"/>
  <c r="S25" i="8"/>
  <c r="W25" i="8" s="1"/>
  <c r="T25" i="8"/>
  <c r="X25" i="8" s="1"/>
  <c r="R24" i="8"/>
  <c r="V24" i="8" s="1"/>
  <c r="T26" i="8"/>
  <c r="X26" i="8" s="1"/>
  <c r="R59" i="8"/>
  <c r="Y59" i="8" s="1"/>
  <c r="T58" i="8"/>
  <c r="AA58" i="8" s="1"/>
  <c r="P58" i="8"/>
  <c r="W58" i="8" s="1"/>
  <c r="R57" i="8"/>
  <c r="Y57" i="8" s="1"/>
  <c r="T56" i="8"/>
  <c r="AA56" i="8" s="1"/>
  <c r="P56" i="8"/>
  <c r="W56" i="8" s="1"/>
  <c r="R55" i="8"/>
  <c r="Y55" i="8" s="1"/>
  <c r="T54" i="8"/>
  <c r="AA54" i="8" s="1"/>
  <c r="P54" i="8"/>
  <c r="W54" i="8" s="1"/>
  <c r="U59" i="8"/>
  <c r="AB59" i="8" s="1"/>
  <c r="Q59" i="8"/>
  <c r="X59" i="8" s="1"/>
  <c r="S58" i="8"/>
  <c r="Z58" i="8" s="1"/>
  <c r="U57" i="8"/>
  <c r="AB57" i="8" s="1"/>
  <c r="Q57" i="8"/>
  <c r="X57" i="8" s="1"/>
  <c r="S56" i="8"/>
  <c r="Z56" i="8" s="1"/>
  <c r="U55" i="8"/>
  <c r="AB55" i="8" s="1"/>
  <c r="Q55" i="8"/>
  <c r="X55" i="8" s="1"/>
  <c r="S54" i="8"/>
  <c r="Z54" i="8" s="1"/>
  <c r="S59" i="8"/>
  <c r="Z59" i="8" s="1"/>
  <c r="Q58" i="8"/>
  <c r="X58" i="8" s="1"/>
  <c r="U56" i="8"/>
  <c r="AB56" i="8" s="1"/>
  <c r="S55" i="8"/>
  <c r="Z55" i="8" s="1"/>
  <c r="Q54" i="8"/>
  <c r="X54" i="8" s="1"/>
  <c r="P59" i="8"/>
  <c r="W59" i="8" s="1"/>
  <c r="T57" i="8"/>
  <c r="AA57" i="8" s="1"/>
  <c r="R56" i="8"/>
  <c r="Y56" i="8" s="1"/>
  <c r="P55" i="8"/>
  <c r="W55" i="8" s="1"/>
  <c r="U58" i="8"/>
  <c r="AB58" i="8" s="1"/>
  <c r="S57" i="8"/>
  <c r="Z57" i="8" s="1"/>
  <c r="Q56" i="8"/>
  <c r="X56" i="8" s="1"/>
  <c r="U54" i="8"/>
  <c r="AB54" i="8" s="1"/>
  <c r="T59" i="8"/>
  <c r="AA59" i="8" s="1"/>
  <c r="R58" i="8"/>
  <c r="Y58" i="8" s="1"/>
  <c r="P57" i="8"/>
  <c r="W57" i="8" s="1"/>
  <c r="T55" i="8"/>
  <c r="AA55" i="8" s="1"/>
  <c r="R54" i="8"/>
  <c r="Y54" i="8" s="1"/>
  <c r="T125" i="8" a="1"/>
  <c r="S33" i="7"/>
  <c r="Z33" i="7" s="1"/>
  <c r="U32" i="7"/>
  <c r="AB32" i="7" s="1"/>
  <c r="Q32" i="7"/>
  <c r="X32" i="7" s="1"/>
  <c r="S31" i="7"/>
  <c r="Z31" i="7" s="1"/>
  <c r="U30" i="7"/>
  <c r="AB30" i="7" s="1"/>
  <c r="Q30" i="7"/>
  <c r="X30" i="7" s="1"/>
  <c r="S29" i="7"/>
  <c r="Z29" i="7" s="1"/>
  <c r="U28" i="7"/>
  <c r="AB28" i="7" s="1"/>
  <c r="Q28" i="7"/>
  <c r="X28" i="7" s="1"/>
  <c r="U33" i="7"/>
  <c r="AB33" i="7" s="1"/>
  <c r="S32" i="7"/>
  <c r="Z32" i="7" s="1"/>
  <c r="U31" i="7"/>
  <c r="AB31" i="7" s="1"/>
  <c r="S30" i="7"/>
  <c r="Z30" i="7" s="1"/>
  <c r="Q29" i="7"/>
  <c r="X29" i="7" s="1"/>
  <c r="R33" i="7"/>
  <c r="Y33" i="7" s="1"/>
  <c r="T32" i="7"/>
  <c r="AA32" i="7" s="1"/>
  <c r="P32" i="7"/>
  <c r="W32" i="7" s="1"/>
  <c r="R31" i="7"/>
  <c r="Y31" i="7" s="1"/>
  <c r="T30" i="7"/>
  <c r="AA30" i="7" s="1"/>
  <c r="P30" i="7"/>
  <c r="W30" i="7" s="1"/>
  <c r="R29" i="7"/>
  <c r="Y29" i="7" s="1"/>
  <c r="T28" i="7"/>
  <c r="AA28" i="7" s="1"/>
  <c r="P28" i="7"/>
  <c r="W28" i="7" s="1"/>
  <c r="Q33" i="7"/>
  <c r="X33" i="7" s="1"/>
  <c r="Q31" i="7"/>
  <c r="X31" i="7" s="1"/>
  <c r="U29" i="7"/>
  <c r="AB29" i="7" s="1"/>
  <c r="S28" i="7"/>
  <c r="Z28" i="7" s="1"/>
  <c r="T31" i="7"/>
  <c r="AA31" i="7" s="1"/>
  <c r="P29" i="7"/>
  <c r="W29" i="7" s="1"/>
  <c r="P31" i="7"/>
  <c r="W31" i="7" s="1"/>
  <c r="P33" i="7"/>
  <c r="W33" i="7" s="1"/>
  <c r="R30" i="7"/>
  <c r="Y30" i="7" s="1"/>
  <c r="T33" i="7"/>
  <c r="AA33" i="7" s="1"/>
  <c r="R28" i="7"/>
  <c r="Y28" i="7" s="1"/>
  <c r="R32" i="7"/>
  <c r="Y32" i="7" s="1"/>
  <c r="T29" i="7"/>
  <c r="AA29" i="7" s="1"/>
  <c r="U131" i="7"/>
  <c r="U129" i="7"/>
  <c r="U127" i="7"/>
  <c r="U125" i="7"/>
  <c r="T131" i="7"/>
  <c r="T129" i="7"/>
  <c r="T127" i="7"/>
  <c r="T125" i="7"/>
  <c r="U132" i="7"/>
  <c r="U130" i="7"/>
  <c r="U128" i="7"/>
  <c r="U126" i="7"/>
  <c r="T126" i="7"/>
  <c r="T132" i="7"/>
  <c r="T130" i="7"/>
  <c r="T128" i="7"/>
  <c r="T52" i="7"/>
  <c r="X52" i="7" s="1"/>
  <c r="S51" i="7"/>
  <c r="W51" i="7" s="1"/>
  <c r="R50" i="7"/>
  <c r="V50" i="7" s="1"/>
  <c r="S52" i="7"/>
  <c r="W52" i="7" s="1"/>
  <c r="R51" i="7"/>
  <c r="T50" i="7"/>
  <c r="X50" i="7" s="1"/>
  <c r="R52" i="7"/>
  <c r="V52" i="7" s="1"/>
  <c r="S50" i="7"/>
  <c r="W50" i="7" s="1"/>
  <c r="T51" i="7"/>
  <c r="X51" i="7" s="1"/>
  <c r="P54" i="7" a="1"/>
  <c r="R26" i="7"/>
  <c r="V26" i="7" s="1"/>
  <c r="T24" i="7"/>
  <c r="X24" i="7" s="1"/>
  <c r="S24" i="7"/>
  <c r="W24" i="7" s="1"/>
  <c r="T25" i="7"/>
  <c r="X25" i="7" s="1"/>
  <c r="T26" i="7"/>
  <c r="X26" i="7" s="1"/>
  <c r="S25" i="7"/>
  <c r="W25" i="7" s="1"/>
  <c r="R24" i="7"/>
  <c r="V24" i="7" s="1"/>
  <c r="S26" i="7"/>
  <c r="W26" i="7" s="1"/>
  <c r="R25" i="7"/>
  <c r="V25" i="7" s="1"/>
  <c r="AP80" i="7"/>
  <c r="AL80" i="7"/>
  <c r="AP79" i="7"/>
  <c r="AL79" i="7"/>
  <c r="AP78" i="7"/>
  <c r="AL78" i="7"/>
  <c r="AP77" i="7"/>
  <c r="AL77" i="7"/>
  <c r="AP76" i="7"/>
  <c r="AL76" i="7"/>
  <c r="AP75" i="7"/>
  <c r="AL75" i="7"/>
  <c r="AP74" i="7"/>
  <c r="AL74" i="7"/>
  <c r="AP73" i="7"/>
  <c r="AL73" i="7"/>
  <c r="AS80" i="7"/>
  <c r="AO80" i="7"/>
  <c r="AS79" i="7"/>
  <c r="AO79" i="7"/>
  <c r="AS78" i="7"/>
  <c r="AO78" i="7"/>
  <c r="AS77" i="7"/>
  <c r="AO77" i="7"/>
  <c r="AS76" i="7"/>
  <c r="AO76" i="7"/>
  <c r="AS75" i="7"/>
  <c r="AO75" i="7"/>
  <c r="AS74" i="7"/>
  <c r="AO74" i="7"/>
  <c r="AS73" i="7"/>
  <c r="AO73" i="7"/>
  <c r="AQ80" i="7"/>
  <c r="AQ79" i="7"/>
  <c r="AQ78" i="7"/>
  <c r="AQ77" i="7"/>
  <c r="AQ76" i="7"/>
  <c r="AQ75" i="7"/>
  <c r="AQ74" i="7"/>
  <c r="AQ73" i="7"/>
  <c r="AN80" i="7"/>
  <c r="AN79" i="7"/>
  <c r="AN78" i="7"/>
  <c r="AN77" i="7"/>
  <c r="AN76" i="7"/>
  <c r="AN75" i="7"/>
  <c r="AN74" i="7"/>
  <c r="AN73" i="7"/>
  <c r="AR80" i="7"/>
  <c r="AR78" i="7"/>
  <c r="AR76" i="7"/>
  <c r="AR74" i="7"/>
  <c r="AR77" i="7"/>
  <c r="AR73" i="7"/>
  <c r="AM77" i="7"/>
  <c r="AM80" i="7"/>
  <c r="AM78" i="7"/>
  <c r="AM76" i="7"/>
  <c r="AM74" i="7"/>
  <c r="AR79" i="7"/>
  <c r="AR75" i="7"/>
  <c r="AM79" i="7"/>
  <c r="AM75" i="7"/>
  <c r="AM73" i="7"/>
  <c r="X108" i="2"/>
  <c r="T102" i="2"/>
  <c r="Q94" i="2"/>
  <c r="U106" i="2" s="1"/>
  <c r="AM80" i="2"/>
  <c r="AS79" i="2"/>
  <c r="AO76" i="2"/>
  <c r="AO79" i="2"/>
  <c r="AS80" i="2"/>
  <c r="AN78" i="2"/>
  <c r="AM73" i="2"/>
  <c r="AQ77" i="2"/>
  <c r="AR79" i="2"/>
  <c r="AQ78" i="2"/>
  <c r="AN73" i="2"/>
  <c r="AL76" i="2"/>
  <c r="AR74" i="2"/>
  <c r="AP78" i="2"/>
  <c r="AR73" i="2"/>
  <c r="AP79" i="2"/>
  <c r="AM76" i="2"/>
  <c r="AR78" i="2"/>
  <c r="AS74" i="2"/>
  <c r="AS76" i="2"/>
  <c r="AQ73" i="2"/>
  <c r="AL74" i="2"/>
  <c r="AM74" i="2"/>
  <c r="AS75" i="2"/>
  <c r="AR76" i="2"/>
  <c r="AQ74" i="2"/>
  <c r="AN76" i="2"/>
  <c r="AL77" i="2"/>
  <c r="AS73" i="2"/>
  <c r="AM77" i="2"/>
  <c r="AO73" i="2"/>
  <c r="AQ75" i="2"/>
  <c r="AN75" i="2"/>
  <c r="AO78" i="2"/>
  <c r="AL78" i="2"/>
  <c r="AP75" i="2"/>
  <c r="AQ79" i="2"/>
  <c r="AL80" i="2"/>
  <c r="AM78" i="2"/>
  <c r="AP74" i="2"/>
  <c r="AR80" i="2"/>
  <c r="AQ76" i="2"/>
  <c r="AN80" i="2"/>
  <c r="AL79" i="2"/>
  <c r="AO77" i="2"/>
  <c r="AM79" i="2"/>
  <c r="AS77" i="2"/>
  <c r="AP73" i="2"/>
  <c r="AR75" i="2"/>
  <c r="AP77" i="2"/>
  <c r="AN74" i="2"/>
  <c r="AP76" i="2"/>
  <c r="AO74" i="2"/>
  <c r="AS78" i="2"/>
  <c r="AO75" i="2"/>
  <c r="AN79" i="2"/>
  <c r="AP80" i="2"/>
  <c r="AO80" i="2"/>
  <c r="AQ80" i="2"/>
  <c r="AL75" i="2"/>
  <c r="AR77" i="2"/>
  <c r="AM75" i="2"/>
  <c r="P54" i="2" a="1"/>
  <c r="P54" i="2" s="1"/>
  <c r="W54" i="2" s="1"/>
  <c r="S103" i="2"/>
  <c r="W107" i="2"/>
  <c r="U109" i="2"/>
  <c r="Q105" i="2"/>
  <c r="R104" i="2"/>
  <c r="V108" i="2"/>
  <c r="M117" i="2"/>
  <c r="R103" i="2"/>
  <c r="V107" i="2"/>
  <c r="R50" i="2"/>
  <c r="V50" i="2" s="1"/>
  <c r="R52" i="2"/>
  <c r="V52" i="2" s="1"/>
  <c r="T52" i="2"/>
  <c r="X52" i="2" s="1"/>
  <c r="S51" i="2"/>
  <c r="W51" i="2" s="1"/>
  <c r="T51" i="2"/>
  <c r="X51" i="2" s="1"/>
  <c r="T50" i="2"/>
  <c r="X50" i="2" s="1"/>
  <c r="S52" i="2"/>
  <c r="W52" i="2" s="1"/>
  <c r="S50" i="2"/>
  <c r="W50" i="2" s="1"/>
  <c r="R51" i="2"/>
  <c r="V51" i="2" s="1"/>
  <c r="I83" i="2" s="1"/>
  <c r="U107" i="2"/>
  <c r="Q103" i="2"/>
  <c r="Q96" i="2"/>
  <c r="R102" i="2"/>
  <c r="V106" i="2"/>
  <c r="L28" i="2"/>
  <c r="L33" i="2"/>
  <c r="N32" i="2"/>
  <c r="L31" i="2"/>
  <c r="N28" i="2"/>
  <c r="M29" i="2"/>
  <c r="M32" i="2"/>
  <c r="N30" i="2"/>
  <c r="N31" i="2"/>
  <c r="L30" i="2"/>
  <c r="N29" i="2"/>
  <c r="M33" i="2"/>
  <c r="L29" i="2"/>
  <c r="M31" i="2"/>
  <c r="M30" i="2"/>
  <c r="N33" i="2"/>
  <c r="M28" i="2"/>
  <c r="L32" i="2"/>
  <c r="S102" i="2" l="1"/>
  <c r="Q102" i="2"/>
  <c r="W108" i="2"/>
  <c r="T59" i="2"/>
  <c r="AA59" i="2" s="1"/>
  <c r="U59" i="2"/>
  <c r="AB59" i="2" s="1"/>
  <c r="R56" i="2"/>
  <c r="Y56" i="2" s="1"/>
  <c r="S58" i="2"/>
  <c r="Z58" i="2" s="1"/>
  <c r="T56" i="2"/>
  <c r="AA56" i="2" s="1"/>
  <c r="K84" i="2"/>
  <c r="P85" i="2" s="1"/>
  <c r="U80" i="2" s="1"/>
  <c r="K82" i="2"/>
  <c r="P82" i="2" s="1"/>
  <c r="U77" i="2" s="1"/>
  <c r="J84" i="2"/>
  <c r="O85" i="2" s="1"/>
  <c r="T80" i="2" s="1"/>
  <c r="I84" i="2"/>
  <c r="M85" i="2" s="1"/>
  <c r="R80" i="2" s="1"/>
  <c r="P58" i="2"/>
  <c r="W58" i="2" s="1"/>
  <c r="R57" i="2"/>
  <c r="Y57" i="2" s="1"/>
  <c r="K83" i="2"/>
  <c r="P84" i="2" s="1"/>
  <c r="U79" i="2" s="1"/>
  <c r="I82" i="2"/>
  <c r="M82" i="2" s="1"/>
  <c r="P55" i="2"/>
  <c r="W55" i="2" s="1"/>
  <c r="R58" i="2"/>
  <c r="Y58" i="2" s="1"/>
  <c r="J82" i="2"/>
  <c r="O82" i="2" s="1"/>
  <c r="J83" i="2"/>
  <c r="O84" i="2" s="1"/>
  <c r="T117" i="2"/>
  <c r="R59" i="10"/>
  <c r="Y59" i="10" s="1"/>
  <c r="T58" i="10"/>
  <c r="AA58" i="10" s="1"/>
  <c r="P58" i="10"/>
  <c r="W58" i="10" s="1"/>
  <c r="R57" i="10"/>
  <c r="Y57" i="10" s="1"/>
  <c r="T56" i="10"/>
  <c r="AA56" i="10" s="1"/>
  <c r="P56" i="10"/>
  <c r="W56" i="10" s="1"/>
  <c r="R55" i="10"/>
  <c r="Y55" i="10" s="1"/>
  <c r="T54" i="10"/>
  <c r="AA54" i="10" s="1"/>
  <c r="P54" i="10"/>
  <c r="W54" i="10" s="1"/>
  <c r="U59" i="10"/>
  <c r="AB59" i="10" s="1"/>
  <c r="Q59" i="10"/>
  <c r="X59" i="10" s="1"/>
  <c r="S58" i="10"/>
  <c r="Z58" i="10" s="1"/>
  <c r="U57" i="10"/>
  <c r="AB57" i="10" s="1"/>
  <c r="Q57" i="10"/>
  <c r="X57" i="10" s="1"/>
  <c r="S56" i="10"/>
  <c r="Z56" i="10" s="1"/>
  <c r="U55" i="10"/>
  <c r="AB55" i="10" s="1"/>
  <c r="Q55" i="10"/>
  <c r="X55" i="10" s="1"/>
  <c r="S54" i="10"/>
  <c r="Z54" i="10" s="1"/>
  <c r="U58" i="10"/>
  <c r="AB58" i="10" s="1"/>
  <c r="S57" i="10"/>
  <c r="Z57" i="10" s="1"/>
  <c r="Q56" i="10"/>
  <c r="X56" i="10" s="1"/>
  <c r="U54" i="10"/>
  <c r="AB54" i="10" s="1"/>
  <c r="T59" i="10"/>
  <c r="AA59" i="10" s="1"/>
  <c r="R58" i="10"/>
  <c r="Y58" i="10" s="1"/>
  <c r="P57" i="10"/>
  <c r="W57" i="10" s="1"/>
  <c r="T55" i="10"/>
  <c r="AA55" i="10" s="1"/>
  <c r="R54" i="10"/>
  <c r="Y54" i="10" s="1"/>
  <c r="P59" i="10"/>
  <c r="W59" i="10" s="1"/>
  <c r="T57" i="10"/>
  <c r="AA57" i="10" s="1"/>
  <c r="R56" i="10"/>
  <c r="Y56" i="10" s="1"/>
  <c r="S59" i="10"/>
  <c r="Z59" i="10" s="1"/>
  <c r="Q58" i="10"/>
  <c r="X58" i="10" s="1"/>
  <c r="U56" i="10"/>
  <c r="AB56" i="10" s="1"/>
  <c r="S55" i="10"/>
  <c r="Z55" i="10" s="1"/>
  <c r="Q54" i="10"/>
  <c r="X54" i="10" s="1"/>
  <c r="P55" i="10"/>
  <c r="W55" i="10" s="1"/>
  <c r="T52" i="10"/>
  <c r="X52" i="10" s="1"/>
  <c r="S51" i="10"/>
  <c r="W51" i="10" s="1"/>
  <c r="R50" i="10"/>
  <c r="V50" i="10" s="1"/>
  <c r="S52" i="10"/>
  <c r="W52" i="10" s="1"/>
  <c r="R51" i="10"/>
  <c r="T51" i="10"/>
  <c r="X51" i="10" s="1"/>
  <c r="T50" i="10"/>
  <c r="X50" i="10" s="1"/>
  <c r="S50" i="10"/>
  <c r="W50" i="10" s="1"/>
  <c r="R52" i="10"/>
  <c r="V52" i="10" s="1"/>
  <c r="U131" i="10"/>
  <c r="U129" i="10"/>
  <c r="U127" i="10"/>
  <c r="U125" i="10"/>
  <c r="T131" i="10"/>
  <c r="T129" i="10"/>
  <c r="T127" i="10"/>
  <c r="T125" i="10"/>
  <c r="U132" i="10"/>
  <c r="U130" i="10"/>
  <c r="U128" i="10"/>
  <c r="U126" i="10"/>
  <c r="T126" i="10"/>
  <c r="T132" i="10"/>
  <c r="T130" i="10"/>
  <c r="T128" i="10"/>
  <c r="S33" i="10"/>
  <c r="Z33" i="10" s="1"/>
  <c r="U32" i="10"/>
  <c r="AB32" i="10" s="1"/>
  <c r="Q32" i="10"/>
  <c r="X32" i="10" s="1"/>
  <c r="S31" i="10"/>
  <c r="Z31" i="10" s="1"/>
  <c r="U30" i="10"/>
  <c r="AB30" i="10" s="1"/>
  <c r="Q30" i="10"/>
  <c r="X30" i="10" s="1"/>
  <c r="S29" i="10"/>
  <c r="Z29" i="10" s="1"/>
  <c r="U28" i="10"/>
  <c r="AB28" i="10" s="1"/>
  <c r="Q28" i="10"/>
  <c r="X28" i="10" s="1"/>
  <c r="R33" i="10"/>
  <c r="Y33" i="10" s="1"/>
  <c r="T32" i="10"/>
  <c r="AA32" i="10" s="1"/>
  <c r="P32" i="10"/>
  <c r="W32" i="10" s="1"/>
  <c r="R31" i="10"/>
  <c r="Y31" i="10" s="1"/>
  <c r="T30" i="10"/>
  <c r="AA30" i="10" s="1"/>
  <c r="P30" i="10"/>
  <c r="W30" i="10" s="1"/>
  <c r="R29" i="10"/>
  <c r="Y29" i="10" s="1"/>
  <c r="T28" i="10"/>
  <c r="AA28" i="10" s="1"/>
  <c r="P28" i="10"/>
  <c r="W28" i="10" s="1"/>
  <c r="P33" i="10"/>
  <c r="W33" i="10" s="1"/>
  <c r="T31" i="10"/>
  <c r="AA31" i="10" s="1"/>
  <c r="R30" i="10"/>
  <c r="Y30" i="10" s="1"/>
  <c r="P29" i="10"/>
  <c r="W29" i="10" s="1"/>
  <c r="U33" i="10"/>
  <c r="AB33" i="10" s="1"/>
  <c r="S32" i="10"/>
  <c r="Z32" i="10" s="1"/>
  <c r="Q31" i="10"/>
  <c r="X31" i="10" s="1"/>
  <c r="U29" i="10"/>
  <c r="AB29" i="10" s="1"/>
  <c r="S28" i="10"/>
  <c r="Z28" i="10" s="1"/>
  <c r="Q33" i="10"/>
  <c r="X33" i="10" s="1"/>
  <c r="S30" i="10"/>
  <c r="Z30" i="10" s="1"/>
  <c r="T33" i="10"/>
  <c r="AA33" i="10" s="1"/>
  <c r="R32" i="10"/>
  <c r="Y32" i="10" s="1"/>
  <c r="P31" i="10"/>
  <c r="W31" i="10" s="1"/>
  <c r="T29" i="10"/>
  <c r="AA29" i="10" s="1"/>
  <c r="R28" i="10"/>
  <c r="Y28" i="10" s="1"/>
  <c r="U31" i="10"/>
  <c r="AB31" i="10" s="1"/>
  <c r="Q29" i="10"/>
  <c r="X29" i="10" s="1"/>
  <c r="K169" i="9" a="1"/>
  <c r="U33" i="9"/>
  <c r="AB33" i="9" s="1"/>
  <c r="Q33" i="9"/>
  <c r="X33" i="9" s="1"/>
  <c r="S32" i="9"/>
  <c r="Z32" i="9" s="1"/>
  <c r="U31" i="9"/>
  <c r="AB31" i="9" s="1"/>
  <c r="Q31" i="9"/>
  <c r="X31" i="9" s="1"/>
  <c r="S30" i="9"/>
  <c r="Z30" i="9" s="1"/>
  <c r="U29" i="9"/>
  <c r="AB29" i="9" s="1"/>
  <c r="Q29" i="9"/>
  <c r="X29" i="9" s="1"/>
  <c r="S28" i="9"/>
  <c r="Z28" i="9" s="1"/>
  <c r="S33" i="9"/>
  <c r="Z33" i="9" s="1"/>
  <c r="T32" i="9"/>
  <c r="AA32" i="9" s="1"/>
  <c r="T31" i="9"/>
  <c r="AA31" i="9" s="1"/>
  <c r="U30" i="9"/>
  <c r="AB30" i="9" s="1"/>
  <c r="P30" i="9"/>
  <c r="W30" i="9" s="1"/>
  <c r="P29" i="9"/>
  <c r="W29" i="9" s="1"/>
  <c r="Q28" i="9"/>
  <c r="X28" i="9" s="1"/>
  <c r="R33" i="9"/>
  <c r="Y33" i="9" s="1"/>
  <c r="R32" i="9"/>
  <c r="Y32" i="9" s="1"/>
  <c r="S31" i="9"/>
  <c r="Z31" i="9" s="1"/>
  <c r="T30" i="9"/>
  <c r="AA30" i="9" s="1"/>
  <c r="T29" i="9"/>
  <c r="AA29" i="9" s="1"/>
  <c r="U28" i="9"/>
  <c r="AB28" i="9" s="1"/>
  <c r="P28" i="9"/>
  <c r="W28" i="9" s="1"/>
  <c r="P33" i="9"/>
  <c r="W33" i="9" s="1"/>
  <c r="Q32" i="9"/>
  <c r="X32" i="9" s="1"/>
  <c r="R31" i="9"/>
  <c r="Y31" i="9" s="1"/>
  <c r="R30" i="9"/>
  <c r="Y30" i="9" s="1"/>
  <c r="S29" i="9"/>
  <c r="Z29" i="9" s="1"/>
  <c r="T28" i="9"/>
  <c r="AA28" i="9" s="1"/>
  <c r="P32" i="9"/>
  <c r="W32" i="9" s="1"/>
  <c r="R28" i="9"/>
  <c r="Y28" i="9" s="1"/>
  <c r="T33" i="9"/>
  <c r="AA33" i="9" s="1"/>
  <c r="Q30" i="9"/>
  <c r="X30" i="9" s="1"/>
  <c r="U32" i="9"/>
  <c r="AB32" i="9" s="1"/>
  <c r="R29" i="9"/>
  <c r="Y29" i="9" s="1"/>
  <c r="P31" i="9"/>
  <c r="W31" i="9" s="1"/>
  <c r="U131" i="8"/>
  <c r="U129" i="8"/>
  <c r="U127" i="8"/>
  <c r="U125" i="8"/>
  <c r="T131" i="8"/>
  <c r="T129" i="8"/>
  <c r="T127" i="8"/>
  <c r="T125" i="8"/>
  <c r="U132" i="8"/>
  <c r="U130" i="8"/>
  <c r="U128" i="8"/>
  <c r="U126" i="8"/>
  <c r="T126" i="8"/>
  <c r="T132" i="8"/>
  <c r="T130" i="8"/>
  <c r="T128" i="8"/>
  <c r="R59" i="7"/>
  <c r="Y59" i="7" s="1"/>
  <c r="T58" i="7"/>
  <c r="AA58" i="7" s="1"/>
  <c r="P58" i="7"/>
  <c r="W58" i="7" s="1"/>
  <c r="R57" i="7"/>
  <c r="Y57" i="7" s="1"/>
  <c r="T56" i="7"/>
  <c r="AA56" i="7" s="1"/>
  <c r="P56" i="7"/>
  <c r="W56" i="7" s="1"/>
  <c r="R55" i="7"/>
  <c r="Y55" i="7" s="1"/>
  <c r="T54" i="7"/>
  <c r="AA54" i="7" s="1"/>
  <c r="P54" i="7"/>
  <c r="W54" i="7" s="1"/>
  <c r="U59" i="7"/>
  <c r="AB59" i="7" s="1"/>
  <c r="Q59" i="7"/>
  <c r="X59" i="7" s="1"/>
  <c r="S58" i="7"/>
  <c r="Z58" i="7" s="1"/>
  <c r="U57" i="7"/>
  <c r="AB57" i="7" s="1"/>
  <c r="Q57" i="7"/>
  <c r="X57" i="7" s="1"/>
  <c r="S56" i="7"/>
  <c r="Z56" i="7" s="1"/>
  <c r="U55" i="7"/>
  <c r="AB55" i="7" s="1"/>
  <c r="Q55" i="7"/>
  <c r="X55" i="7" s="1"/>
  <c r="S54" i="7"/>
  <c r="Z54" i="7" s="1"/>
  <c r="T59" i="7"/>
  <c r="AA59" i="7" s="1"/>
  <c r="R58" i="7"/>
  <c r="Y58" i="7" s="1"/>
  <c r="P57" i="7"/>
  <c r="W57" i="7" s="1"/>
  <c r="T55" i="7"/>
  <c r="AA55" i="7" s="1"/>
  <c r="R54" i="7"/>
  <c r="Y54" i="7" s="1"/>
  <c r="P59" i="7"/>
  <c r="W59" i="7" s="1"/>
  <c r="T57" i="7"/>
  <c r="AA57" i="7" s="1"/>
  <c r="P55" i="7"/>
  <c r="W55" i="7" s="1"/>
  <c r="U58" i="7"/>
  <c r="AB58" i="7" s="1"/>
  <c r="Q56" i="7"/>
  <c r="X56" i="7" s="1"/>
  <c r="U54" i="7"/>
  <c r="AB54" i="7" s="1"/>
  <c r="S59" i="7"/>
  <c r="Z59" i="7" s="1"/>
  <c r="Q58" i="7"/>
  <c r="X58" i="7" s="1"/>
  <c r="U56" i="7"/>
  <c r="AB56" i="7" s="1"/>
  <c r="S55" i="7"/>
  <c r="Z55" i="7" s="1"/>
  <c r="Q54" i="7"/>
  <c r="X54" i="7" s="1"/>
  <c r="R56" i="7"/>
  <c r="Y56" i="7" s="1"/>
  <c r="S57" i="7"/>
  <c r="Z57" i="7" s="1"/>
  <c r="K169" i="7" a="1"/>
  <c r="U54" i="2"/>
  <c r="AB54" i="2" s="1"/>
  <c r="S56" i="2"/>
  <c r="Z56" i="2" s="1"/>
  <c r="S57" i="2"/>
  <c r="Z57" i="2" s="1"/>
  <c r="T57" i="2"/>
  <c r="AA57" i="2" s="1"/>
  <c r="P56" i="2"/>
  <c r="W56" i="2" s="1"/>
  <c r="P59" i="2"/>
  <c r="W59" i="2" s="1"/>
  <c r="Q56" i="2"/>
  <c r="X56" i="2" s="1"/>
  <c r="Q55" i="2"/>
  <c r="X55" i="2" s="1"/>
  <c r="R59" i="2"/>
  <c r="Y59" i="2" s="1"/>
  <c r="Q54" i="2"/>
  <c r="X54" i="2" s="1"/>
  <c r="R54" i="2"/>
  <c r="Y54" i="2" s="1"/>
  <c r="Q59" i="2"/>
  <c r="X59" i="2" s="1"/>
  <c r="S55" i="2"/>
  <c r="Z55" i="2" s="1"/>
  <c r="S54" i="2"/>
  <c r="Z54" i="2" s="1"/>
  <c r="T58" i="2"/>
  <c r="AA58" i="2" s="1"/>
  <c r="U55" i="2"/>
  <c r="AB55" i="2" s="1"/>
  <c r="U58" i="2"/>
  <c r="AB58" i="2" s="1"/>
  <c r="U57" i="2"/>
  <c r="AB57" i="2" s="1"/>
  <c r="S59" i="2"/>
  <c r="Z59" i="2" s="1"/>
  <c r="P57" i="2"/>
  <c r="W57" i="2" s="1"/>
  <c r="R55" i="2"/>
  <c r="Y55" i="2" s="1"/>
  <c r="Q58" i="2"/>
  <c r="X58" i="2" s="1"/>
  <c r="Q57" i="2"/>
  <c r="X57" i="2" s="1"/>
  <c r="U56" i="2"/>
  <c r="AB56" i="2" s="1"/>
  <c r="T54" i="2"/>
  <c r="AA54" i="2" s="1"/>
  <c r="T55" i="2"/>
  <c r="AA55" i="2" s="1"/>
  <c r="M77" i="2"/>
  <c r="X24" i="2"/>
  <c r="W26" i="2"/>
  <c r="X25" i="2"/>
  <c r="W25" i="2"/>
  <c r="X26" i="2"/>
  <c r="V25" i="2"/>
  <c r="W24" i="2"/>
  <c r="V26" i="2"/>
  <c r="Q104" i="2"/>
  <c r="U108" i="2"/>
  <c r="P28" i="2" a="1"/>
  <c r="P28" i="2" s="1"/>
  <c r="W28" i="2" s="1"/>
  <c r="Z79" i="2" l="1"/>
  <c r="AD83" i="2"/>
  <c r="Y80" i="2"/>
  <c r="AC84" i="2"/>
  <c r="Z77" i="2"/>
  <c r="AD81" i="2"/>
  <c r="W80" i="2"/>
  <c r="AA84" i="2"/>
  <c r="Z80" i="2"/>
  <c r="AD84" i="2"/>
  <c r="I78" i="2"/>
  <c r="M78" i="2" s="1"/>
  <c r="R78" i="2" s="1"/>
  <c r="K79" i="2"/>
  <c r="O79" i="2" s="1"/>
  <c r="T79" i="2" s="1"/>
  <c r="K77" i="2"/>
  <c r="O77" i="2" s="1"/>
  <c r="T77" i="2" s="1"/>
  <c r="M125" i="2"/>
  <c r="T125" i="2" s="1" a="1"/>
  <c r="J79" i="2"/>
  <c r="N79" i="2" s="1"/>
  <c r="S79" i="2" s="1"/>
  <c r="I79" i="2"/>
  <c r="M79" i="2" s="1"/>
  <c r="R79" i="2" s="1"/>
  <c r="J78" i="2"/>
  <c r="N78" i="2" s="1"/>
  <c r="S78" i="2" s="1"/>
  <c r="J77" i="2"/>
  <c r="N77" i="2" s="1"/>
  <c r="S77" i="2" s="1"/>
  <c r="K78" i="2"/>
  <c r="O78" i="2" s="1"/>
  <c r="T78" i="2" s="1"/>
  <c r="Y78" i="2" s="1"/>
  <c r="K169" i="10" a="1"/>
  <c r="K176" i="9"/>
  <c r="K174" i="9"/>
  <c r="K172" i="9"/>
  <c r="K170" i="9"/>
  <c r="L175" i="9"/>
  <c r="L173" i="9"/>
  <c r="L171" i="9"/>
  <c r="L169" i="9"/>
  <c r="L174" i="9"/>
  <c r="L170" i="9"/>
  <c r="K173" i="9"/>
  <c r="K169" i="9"/>
  <c r="L176" i="9"/>
  <c r="L172" i="9"/>
  <c r="K175" i="9"/>
  <c r="K171" i="9"/>
  <c r="K169" i="8" a="1"/>
  <c r="K176" i="7"/>
  <c r="K174" i="7"/>
  <c r="K172" i="7"/>
  <c r="K170" i="7"/>
  <c r="L175" i="7"/>
  <c r="L173" i="7"/>
  <c r="L171" i="7"/>
  <c r="L169" i="7"/>
  <c r="K175" i="7"/>
  <c r="K173" i="7"/>
  <c r="K171" i="7"/>
  <c r="K169" i="7"/>
  <c r="L174" i="7"/>
  <c r="L172" i="7"/>
  <c r="L170" i="7"/>
  <c r="L176" i="7"/>
  <c r="I197" i="2" a="1"/>
  <c r="I198" i="2" s="1"/>
  <c r="K198" i="2" s="1"/>
  <c r="U33" i="2"/>
  <c r="AB33" i="2" s="1"/>
  <c r="Q32" i="2"/>
  <c r="X32" i="2" s="1"/>
  <c r="U28" i="2"/>
  <c r="AB28" i="2" s="1"/>
  <c r="U30" i="2"/>
  <c r="AB30" i="2" s="1"/>
  <c r="T31" i="2"/>
  <c r="AA31" i="2" s="1"/>
  <c r="S30" i="2"/>
  <c r="Z30" i="2" s="1"/>
  <c r="R29" i="2"/>
  <c r="Y29" i="2" s="1"/>
  <c r="S33" i="2"/>
  <c r="Z33" i="2" s="1"/>
  <c r="R28" i="2"/>
  <c r="Y28" i="2" s="1"/>
  <c r="Q33" i="2"/>
  <c r="X33" i="2" s="1"/>
  <c r="U31" i="2"/>
  <c r="AB31" i="2" s="1"/>
  <c r="R33" i="2"/>
  <c r="Y33" i="2" s="1"/>
  <c r="T33" i="2"/>
  <c r="AA33" i="2" s="1"/>
  <c r="T32" i="2"/>
  <c r="AA32" i="2" s="1"/>
  <c r="T28" i="2"/>
  <c r="AA28" i="2" s="1"/>
  <c r="R32" i="2"/>
  <c r="Y32" i="2" s="1"/>
  <c r="P32" i="2"/>
  <c r="W32" i="2" s="1"/>
  <c r="P31" i="2"/>
  <c r="W31" i="2" s="1"/>
  <c r="R31" i="2"/>
  <c r="Y31" i="2" s="1"/>
  <c r="P30" i="2"/>
  <c r="W30" i="2" s="1"/>
  <c r="P29" i="2"/>
  <c r="W29" i="2" s="1"/>
  <c r="U29" i="2"/>
  <c r="AB29" i="2" s="1"/>
  <c r="R30" i="2"/>
  <c r="Y30" i="2" s="1"/>
  <c r="Q30" i="2"/>
  <c r="X30" i="2" s="1"/>
  <c r="Q29" i="2"/>
  <c r="X29" i="2" s="1"/>
  <c r="U32" i="2"/>
  <c r="AB32" i="2" s="1"/>
  <c r="S32" i="2"/>
  <c r="Z32" i="2" s="1"/>
  <c r="S31" i="2"/>
  <c r="Z31" i="2" s="1"/>
  <c r="Q31" i="2"/>
  <c r="X31" i="2" s="1"/>
  <c r="P33" i="2"/>
  <c r="W33" i="2" s="1"/>
  <c r="S29" i="2"/>
  <c r="Z29" i="2" s="1"/>
  <c r="S28" i="2"/>
  <c r="Z28" i="2" s="1"/>
  <c r="Q28" i="2"/>
  <c r="X28" i="2" s="1"/>
  <c r="T30" i="2"/>
  <c r="AA30" i="2" s="1"/>
  <c r="T29" i="2"/>
  <c r="AA29" i="2" s="1"/>
  <c r="AA81" i="2" l="1"/>
  <c r="AA83" i="2"/>
  <c r="W79" i="2"/>
  <c r="AB81" i="2"/>
  <c r="X77" i="2"/>
  <c r="T132" i="2"/>
  <c r="T127" i="2"/>
  <c r="U125" i="2"/>
  <c r="U130" i="2"/>
  <c r="U128" i="2"/>
  <c r="U129" i="2"/>
  <c r="T131" i="2"/>
  <c r="T126" i="2"/>
  <c r="U131" i="2"/>
  <c r="T129" i="2"/>
  <c r="T130" i="2"/>
  <c r="U127" i="2"/>
  <c r="U126" i="2"/>
  <c r="T125" i="2"/>
  <c r="T128" i="2"/>
  <c r="U132" i="2"/>
  <c r="AC83" i="2"/>
  <c r="Y79" i="2"/>
  <c r="AB83" i="2"/>
  <c r="X79" i="2"/>
  <c r="AA82" i="2"/>
  <c r="W78" i="2"/>
  <c r="X78" i="2"/>
  <c r="AB82" i="2"/>
  <c r="Y77" i="2"/>
  <c r="AC81" i="2"/>
  <c r="AC82" i="2"/>
  <c r="K176" i="10"/>
  <c r="K174" i="10"/>
  <c r="K172" i="10"/>
  <c r="K170" i="10"/>
  <c r="L175" i="10"/>
  <c r="L173" i="10"/>
  <c r="L171" i="10"/>
  <c r="L169" i="10"/>
  <c r="K175" i="10"/>
  <c r="K173" i="10"/>
  <c r="K171" i="10"/>
  <c r="K169" i="10"/>
  <c r="N169" i="10" s="1" a="1"/>
  <c r="L174" i="10"/>
  <c r="L172" i="10"/>
  <c r="L170" i="10"/>
  <c r="L176" i="10"/>
  <c r="N169" i="9" a="1"/>
  <c r="K176" i="8"/>
  <c r="K174" i="8"/>
  <c r="K172" i="8"/>
  <c r="K170" i="8"/>
  <c r="L175" i="8"/>
  <c r="L173" i="8"/>
  <c r="L171" i="8"/>
  <c r="L169" i="8"/>
  <c r="K175" i="8"/>
  <c r="K173" i="8"/>
  <c r="K171" i="8"/>
  <c r="K169" i="8"/>
  <c r="N169" i="8" s="1" a="1"/>
  <c r="L174" i="8"/>
  <c r="L172" i="8"/>
  <c r="L170" i="8"/>
  <c r="L176" i="8"/>
  <c r="N169" i="7" a="1"/>
  <c r="I199" i="2"/>
  <c r="K199" i="2" s="1"/>
  <c r="I201" i="2"/>
  <c r="K201" i="2" s="1"/>
  <c r="I200" i="2"/>
  <c r="K200" i="2" s="1"/>
  <c r="I197" i="2"/>
  <c r="K197" i="2" s="1"/>
  <c r="I204" i="2"/>
  <c r="K204" i="2" s="1"/>
  <c r="I203" i="2"/>
  <c r="K203" i="2" s="1"/>
  <c r="I202" i="2"/>
  <c r="K202" i="2" s="1"/>
  <c r="M197" i="2" l="1" a="1"/>
  <c r="M199" i="2" s="1"/>
  <c r="O199" i="2" s="1"/>
  <c r="K169" i="2" a="1"/>
  <c r="L171" i="2" s="1"/>
  <c r="O169" i="10"/>
  <c r="N169" i="10"/>
  <c r="Q169" i="10" s="1" a="1"/>
  <c r="O170" i="10"/>
  <c r="N170" i="10"/>
  <c r="O169" i="9"/>
  <c r="N169" i="9"/>
  <c r="Q169" i="9" s="1" a="1"/>
  <c r="N170" i="9"/>
  <c r="O170" i="9"/>
  <c r="O169" i="8"/>
  <c r="N169" i="8"/>
  <c r="O170" i="8"/>
  <c r="N170" i="8"/>
  <c r="O169" i="7"/>
  <c r="N169" i="7"/>
  <c r="O170" i="7"/>
  <c r="N170" i="7"/>
  <c r="M201" i="2" l="1"/>
  <c r="O201" i="2" s="1"/>
  <c r="M197" i="2"/>
  <c r="M203" i="2"/>
  <c r="O203" i="2" s="1"/>
  <c r="M202" i="2"/>
  <c r="O202" i="2" s="1"/>
  <c r="M198" i="2"/>
  <c r="O198" i="2" s="1"/>
  <c r="M200" i="2"/>
  <c r="O200" i="2" s="1"/>
  <c r="M204" i="2"/>
  <c r="O204" i="2" s="1"/>
  <c r="K173" i="2"/>
  <c r="L176" i="2"/>
  <c r="K169" i="2"/>
  <c r="L169" i="2"/>
  <c r="K174" i="2"/>
  <c r="K176" i="2"/>
  <c r="K171" i="2"/>
  <c r="L173" i="2"/>
  <c r="K170" i="2"/>
  <c r="K172" i="2"/>
  <c r="K175" i="2"/>
  <c r="L175" i="2"/>
  <c r="L170" i="2"/>
  <c r="L174" i="2"/>
  <c r="L172" i="2"/>
  <c r="Q169" i="10"/>
  <c r="R170" i="10"/>
  <c r="Q170" i="10"/>
  <c r="R169" i="10"/>
  <c r="Q169" i="9"/>
  <c r="R170" i="9"/>
  <c r="Q170" i="9"/>
  <c r="R169" i="9"/>
  <c r="Q169" i="8" a="1"/>
  <c r="Q169" i="7" a="1"/>
  <c r="O197" i="2" l="1"/>
  <c r="I208" i="2" s="1" a="1"/>
  <c r="I213" i="2" s="1"/>
  <c r="K213" i="2" s="1"/>
  <c r="M213" i="2" s="1"/>
  <c r="N169" i="2" a="1"/>
  <c r="Q169" i="8"/>
  <c r="R170" i="8"/>
  <c r="Q170" i="8"/>
  <c r="R169" i="8"/>
  <c r="Q169" i="7"/>
  <c r="R170" i="7"/>
  <c r="Q170" i="7"/>
  <c r="R169" i="7"/>
  <c r="I210" i="2" l="1"/>
  <c r="K210" i="2" s="1"/>
  <c r="M210" i="2" s="1"/>
  <c r="I208" i="2"/>
  <c r="I215" i="2"/>
  <c r="K215" i="2" s="1"/>
  <c r="M215" i="2" s="1"/>
  <c r="I211" i="2"/>
  <c r="K211" i="2" s="1"/>
  <c r="M211" i="2" s="1"/>
  <c r="I214" i="2"/>
  <c r="K214" i="2" s="1"/>
  <c r="M214" i="2" s="1"/>
  <c r="I212" i="2"/>
  <c r="K212" i="2" s="1"/>
  <c r="M212" i="2" s="1"/>
  <c r="I209" i="2"/>
  <c r="K209" i="2" s="1"/>
  <c r="M209" i="2" s="1"/>
  <c r="O170" i="2"/>
  <c r="N170" i="2"/>
  <c r="N169" i="2"/>
  <c r="O169" i="2"/>
  <c r="K208" i="2" a="1"/>
  <c r="K208" i="2" l="1"/>
  <c r="M208" i="2" s="1"/>
  <c r="I219" i="2" s="1" a="1"/>
  <c r="Q169" i="2" a="1"/>
  <c r="I219" i="2" l="1"/>
  <c r="I220" i="2"/>
  <c r="R169" i="2"/>
  <c r="Q169" i="2"/>
  <c r="R170" i="2"/>
  <c r="Q170" i="2"/>
  <c r="H225" i="2" l="1" a="1"/>
  <c r="H225" i="2" s="1"/>
  <c r="H226" i="2" l="1"/>
  <c r="L238" i="2" l="1" a="1"/>
  <c r="L239" i="2" s="1"/>
  <c r="N239" i="2" s="1"/>
  <c r="C188" i="7" s="1"/>
  <c r="L243" i="2" l="1"/>
  <c r="N243" i="2" s="1"/>
  <c r="C192" i="7" s="1"/>
  <c r="H275" i="7" s="1"/>
  <c r="L242" i="2"/>
  <c r="N242" i="2" s="1"/>
  <c r="C191" i="7" s="1"/>
  <c r="L241" i="2"/>
  <c r="N241" i="2" s="1"/>
  <c r="C190" i="7" s="1"/>
  <c r="L245" i="2"/>
  <c r="N245" i="2" s="1"/>
  <c r="C194" i="7" s="1"/>
  <c r="L244" i="2"/>
  <c r="N244" i="2" s="1"/>
  <c r="C193" i="7" s="1"/>
  <c r="L238" i="2"/>
  <c r="N238" i="2" s="1"/>
  <c r="C187" i="7" s="1"/>
  <c r="L240" i="2"/>
  <c r="N240" i="2" s="1"/>
  <c r="C189" i="7" s="1"/>
  <c r="J276" i="7" l="1"/>
  <c r="H273" i="7"/>
  <c r="J100" i="7"/>
  <c r="L104" i="7" s="1"/>
  <c r="L109" i="7" s="1"/>
  <c r="Q97" i="7" s="1"/>
  <c r="Q105" i="7" s="1"/>
  <c r="K100" i="7"/>
  <c r="M104" i="7" s="1"/>
  <c r="N109" i="7" s="1"/>
  <c r="S97" i="7" s="1"/>
  <c r="S105" i="7" s="1"/>
  <c r="K88" i="7"/>
  <c r="J273" i="7"/>
  <c r="J88" i="7"/>
  <c r="J275" i="7"/>
  <c r="H276" i="7"/>
  <c r="J274" i="7"/>
  <c r="H274" i="7"/>
  <c r="N102" i="7"/>
  <c r="O106" i="7" s="1"/>
  <c r="T94" i="7" s="1"/>
  <c r="T102" i="7" s="1"/>
  <c r="L102" i="7" l="1"/>
  <c r="L106" i="7" s="1"/>
  <c r="N103" i="7"/>
  <c r="O108" i="7" s="1"/>
  <c r="T96" i="7" s="1"/>
  <c r="X108" i="7" s="1"/>
  <c r="L90" i="7"/>
  <c r="L94" i="7" s="1"/>
  <c r="Q94" i="7" s="1"/>
  <c r="N104" i="7"/>
  <c r="O109" i="7" s="1"/>
  <c r="T97" i="7" s="1"/>
  <c r="T105" i="7" s="1"/>
  <c r="M91" i="7"/>
  <c r="M95" i="7" s="1"/>
  <c r="R95" i="7" s="1"/>
  <c r="V107" i="7" s="1"/>
  <c r="M102" i="7"/>
  <c r="N106" i="7" s="1"/>
  <c r="H285" i="7"/>
  <c r="H291" i="7" s="1"/>
  <c r="H294" i="7" s="1"/>
  <c r="I78" i="7" s="1"/>
  <c r="M78" i="7" s="1"/>
  <c r="R78" i="7" s="1"/>
  <c r="AA82" i="7" s="1"/>
  <c r="L103" i="7"/>
  <c r="L108" i="7" s="1"/>
  <c r="M103" i="7"/>
  <c r="N108" i="7" s="1"/>
  <c r="J285" i="7"/>
  <c r="J291" i="7" s="1"/>
  <c r="J294" i="7" s="1"/>
  <c r="K82" i="7" s="1"/>
  <c r="P82" i="7" s="1"/>
  <c r="U77" i="7" s="1"/>
  <c r="Z77" i="7" s="1"/>
  <c r="N91" i="7"/>
  <c r="N95" i="7" s="1"/>
  <c r="S95" i="7" s="1"/>
  <c r="L92" i="7"/>
  <c r="L96" i="7" s="1"/>
  <c r="Q96" i="7" s="1"/>
  <c r="U108" i="7" s="1"/>
  <c r="N90" i="7"/>
  <c r="N94" i="7" s="1"/>
  <c r="N92" i="7"/>
  <c r="N96" i="7" s="1"/>
  <c r="M92" i="7"/>
  <c r="M96" i="7" s="1"/>
  <c r="R96" i="7" s="1"/>
  <c r="R104" i="7" s="1"/>
  <c r="M90" i="7"/>
  <c r="M94" i="7" s="1"/>
  <c r="R94" i="7" s="1"/>
  <c r="V106" i="7" s="1"/>
  <c r="L91" i="7"/>
  <c r="L95" i="7" s="1"/>
  <c r="Q95" i="7" s="1"/>
  <c r="X106" i="7"/>
  <c r="K78" i="7"/>
  <c r="O78" i="7" s="1"/>
  <c r="T78" i="7" s="1"/>
  <c r="Y78" i="7" s="1"/>
  <c r="U109" i="7"/>
  <c r="W109" i="7"/>
  <c r="T104" i="7" l="1"/>
  <c r="Q102" i="7"/>
  <c r="U106" i="7"/>
  <c r="W78" i="7"/>
  <c r="K79" i="7"/>
  <c r="O79" i="7" s="1"/>
  <c r="X109" i="7"/>
  <c r="K77" i="7"/>
  <c r="O77" i="7" s="1"/>
  <c r="J77" i="7"/>
  <c r="N77" i="7" s="1"/>
  <c r="S77" i="7" s="1"/>
  <c r="X77" i="7" s="1"/>
  <c r="I79" i="7"/>
  <c r="M79" i="7" s="1"/>
  <c r="R79" i="7" s="1"/>
  <c r="I77" i="7"/>
  <c r="M77" i="7" s="1"/>
  <c r="J79" i="7"/>
  <c r="N79" i="7" s="1"/>
  <c r="S79" i="7" s="1"/>
  <c r="X79" i="7" s="1"/>
  <c r="J78" i="7"/>
  <c r="N78" i="7" s="1"/>
  <c r="S78" i="7" s="1"/>
  <c r="AB82" i="7" s="1"/>
  <c r="AB81" i="7"/>
  <c r="S94" i="7"/>
  <c r="S102" i="7" s="1"/>
  <c r="J82" i="7"/>
  <c r="O82" i="7" s="1"/>
  <c r="T77" i="7" s="1"/>
  <c r="K83" i="7"/>
  <c r="P84" i="7" s="1"/>
  <c r="U79" i="7" s="1"/>
  <c r="AD83" i="7" s="1"/>
  <c r="X78" i="7"/>
  <c r="J83" i="7"/>
  <c r="O84" i="7" s="1"/>
  <c r="I83" i="7"/>
  <c r="K84" i="7"/>
  <c r="P85" i="7" s="1"/>
  <c r="U80" i="7" s="1"/>
  <c r="AD84" i="7" s="1"/>
  <c r="AD81" i="7"/>
  <c r="I82" i="7"/>
  <c r="M82" i="7" s="1"/>
  <c r="R77" i="7" s="1"/>
  <c r="W77" i="7" s="1"/>
  <c r="J84" i="7"/>
  <c r="O85" i="7" s="1"/>
  <c r="T80" i="7" s="1"/>
  <c r="AC84" i="7" s="1"/>
  <c r="I84" i="7"/>
  <c r="M85" i="7" s="1"/>
  <c r="R80" i="7" s="1"/>
  <c r="W80" i="7" s="1"/>
  <c r="S96" i="7"/>
  <c r="W108" i="7" s="1"/>
  <c r="R103" i="7"/>
  <c r="AB83" i="7"/>
  <c r="V108" i="7"/>
  <c r="R102" i="7"/>
  <c r="Q103" i="7"/>
  <c r="U107" i="7"/>
  <c r="W107" i="7"/>
  <c r="S103" i="7"/>
  <c r="Q104" i="7"/>
  <c r="AC82" i="7"/>
  <c r="AA81" i="7" l="1"/>
  <c r="W79" i="7"/>
  <c r="AA83" i="7"/>
  <c r="S104" i="7"/>
  <c r="T79" i="7"/>
  <c r="Y79" i="7" s="1"/>
  <c r="Y80" i="7"/>
  <c r="W106" i="7"/>
  <c r="Y77" i="7"/>
  <c r="AC81" i="7"/>
  <c r="Z79" i="7"/>
  <c r="AA84" i="7"/>
  <c r="Z80" i="7"/>
  <c r="I197" i="7" a="1"/>
  <c r="I200" i="7" s="1"/>
  <c r="K200" i="7" s="1"/>
  <c r="AC83" i="7" l="1"/>
  <c r="M197" i="7" a="1"/>
  <c r="M203" i="7" s="1"/>
  <c r="O203" i="7" s="1"/>
  <c r="I198" i="7"/>
  <c r="K198" i="7" s="1"/>
  <c r="I204" i="7"/>
  <c r="K204" i="7" s="1"/>
  <c r="I199" i="7"/>
  <c r="K199" i="7" s="1"/>
  <c r="I201" i="7"/>
  <c r="K201" i="7" s="1"/>
  <c r="I197" i="7"/>
  <c r="K197" i="7" s="1"/>
  <c r="I202" i="7"/>
  <c r="K202" i="7" s="1"/>
  <c r="I203" i="7"/>
  <c r="K203" i="7" s="1"/>
  <c r="M202" i="7" l="1"/>
  <c r="M200" i="7"/>
  <c r="O200" i="7" s="1"/>
  <c r="M197" i="7"/>
  <c r="O197" i="7" s="1"/>
  <c r="M201" i="7"/>
  <c r="O201" i="7" s="1"/>
  <c r="M198" i="7"/>
  <c r="M204" i="7"/>
  <c r="O204" i="7" s="1"/>
  <c r="M199" i="7"/>
  <c r="O199" i="7" s="1"/>
  <c r="O198" i="7"/>
  <c r="O202" i="7"/>
  <c r="I208" i="7" l="1" a="1"/>
  <c r="I208" i="7" s="1"/>
  <c r="K208" i="7" s="1" a="1"/>
  <c r="K208" i="7" s="1"/>
  <c r="M208" i="7" s="1"/>
  <c r="I213" i="7" l="1"/>
  <c r="K213" i="7" s="1"/>
  <c r="M213" i="7" s="1"/>
  <c r="I214" i="7"/>
  <c r="K214" i="7" s="1"/>
  <c r="M214" i="7" s="1"/>
  <c r="I209" i="7"/>
  <c r="K209" i="7" s="1"/>
  <c r="M209" i="7" s="1"/>
  <c r="I215" i="7"/>
  <c r="K215" i="7" s="1"/>
  <c r="M215" i="7" s="1"/>
  <c r="I211" i="7"/>
  <c r="K211" i="7" s="1"/>
  <c r="M211" i="7" s="1"/>
  <c r="I210" i="7"/>
  <c r="K210" i="7" s="1"/>
  <c r="M210" i="7" s="1"/>
  <c r="I212" i="7"/>
  <c r="K212" i="7" s="1"/>
  <c r="M212" i="7" s="1"/>
  <c r="I219" i="7" l="1" a="1"/>
  <c r="I219" i="7" s="1"/>
  <c r="H225" i="7" s="1" a="1"/>
  <c r="I220" i="7"/>
  <c r="H226" i="7" l="1"/>
  <c r="H225" i="7"/>
  <c r="M225" i="7" s="1"/>
  <c r="M226" i="7" l="1"/>
  <c r="L238" i="7" l="1" a="1"/>
  <c r="L245" i="7" l="1"/>
  <c r="N245" i="7" s="1"/>
  <c r="C194" i="8" s="1"/>
  <c r="L238" i="7"/>
  <c r="N238" i="7" s="1"/>
  <c r="C187" i="8" s="1"/>
  <c r="L241" i="7"/>
  <c r="N241" i="7" s="1"/>
  <c r="C190" i="8" s="1"/>
  <c r="L239" i="7"/>
  <c r="N239" i="7" s="1"/>
  <c r="C188" i="8" s="1"/>
  <c r="L242" i="7"/>
  <c r="N242" i="7" s="1"/>
  <c r="C191" i="8" s="1"/>
  <c r="L244" i="7"/>
  <c r="N244" i="7" s="1"/>
  <c r="C193" i="8" s="1"/>
  <c r="L240" i="7"/>
  <c r="N240" i="7" s="1"/>
  <c r="C189" i="8" s="1"/>
  <c r="L243" i="7"/>
  <c r="N243" i="7" s="1"/>
  <c r="C192" i="8" s="1"/>
  <c r="J88" i="8" l="1"/>
  <c r="J100" i="8"/>
  <c r="H273" i="8"/>
  <c r="J274" i="8"/>
  <c r="J273" i="8"/>
  <c r="H274" i="8"/>
  <c r="J275" i="8"/>
  <c r="H276" i="8"/>
  <c r="K88" i="8"/>
  <c r="J276" i="8"/>
  <c r="K100" i="8"/>
  <c r="H275" i="8"/>
  <c r="M104" i="8" l="1"/>
  <c r="N109" i="8" s="1"/>
  <c r="S97" i="8" s="1"/>
  <c r="L103" i="8"/>
  <c r="L108" i="8" s="1"/>
  <c r="M102" i="8"/>
  <c r="N106" i="8" s="1"/>
  <c r="N104" i="8"/>
  <c r="O109" i="8" s="1"/>
  <c r="T97" i="8" s="1"/>
  <c r="N102" i="8"/>
  <c r="O106" i="8" s="1"/>
  <c r="T94" i="8" s="1"/>
  <c r="L102" i="8"/>
  <c r="L106" i="8" s="1"/>
  <c r="L104" i="8"/>
  <c r="L109" i="8" s="1"/>
  <c r="Q97" i="8" s="1"/>
  <c r="N103" i="8"/>
  <c r="O108" i="8" s="1"/>
  <c r="T96" i="8" s="1"/>
  <c r="M103" i="8"/>
  <c r="N108" i="8" s="1"/>
  <c r="J285" i="8"/>
  <c r="J291" i="8" s="1"/>
  <c r="J294" i="8" s="1"/>
  <c r="M91" i="8"/>
  <c r="M95" i="8" s="1"/>
  <c r="R95" i="8" s="1"/>
  <c r="L92" i="8"/>
  <c r="L96" i="8" s="1"/>
  <c r="M90" i="8"/>
  <c r="M94" i="8" s="1"/>
  <c r="R94" i="8" s="1"/>
  <c r="L91" i="8"/>
  <c r="L95" i="8" s="1"/>
  <c r="Q95" i="8" s="1"/>
  <c r="N90" i="8"/>
  <c r="N94" i="8" s="1"/>
  <c r="S94" i="8" s="1"/>
  <c r="N91" i="8"/>
  <c r="N95" i="8" s="1"/>
  <c r="S95" i="8" s="1"/>
  <c r="L90" i="8"/>
  <c r="L94" i="8" s="1"/>
  <c r="N92" i="8"/>
  <c r="N96" i="8" s="1"/>
  <c r="S96" i="8" s="1"/>
  <c r="M92" i="8"/>
  <c r="M96" i="8" s="1"/>
  <c r="R96" i="8" s="1"/>
  <c r="H285" i="8"/>
  <c r="H291" i="8" s="1"/>
  <c r="H294" i="8" s="1"/>
  <c r="W108" i="8" l="1"/>
  <c r="S104" i="8"/>
  <c r="U107" i="8"/>
  <c r="Q103" i="8"/>
  <c r="I82" i="8"/>
  <c r="M82" i="8" s="1"/>
  <c r="I83" i="8"/>
  <c r="K84" i="8"/>
  <c r="P85" i="8" s="1"/>
  <c r="U80" i="8" s="1"/>
  <c r="K83" i="8"/>
  <c r="P84" i="8" s="1"/>
  <c r="U79" i="8" s="1"/>
  <c r="J83" i="8"/>
  <c r="O84" i="8" s="1"/>
  <c r="J84" i="8"/>
  <c r="O85" i="8" s="1"/>
  <c r="T80" i="8" s="1"/>
  <c r="I84" i="8"/>
  <c r="M85" i="8" s="1"/>
  <c r="R80" i="8" s="1"/>
  <c r="J82" i="8"/>
  <c r="O82" i="8" s="1"/>
  <c r="T77" i="8" s="1"/>
  <c r="K82" i="8"/>
  <c r="P82" i="8" s="1"/>
  <c r="U77" i="8" s="1"/>
  <c r="Q94" i="8"/>
  <c r="R102" i="8"/>
  <c r="V106" i="8"/>
  <c r="T102" i="8"/>
  <c r="X106" i="8"/>
  <c r="S105" i="8"/>
  <c r="W109" i="8"/>
  <c r="J79" i="8"/>
  <c r="N79" i="8" s="1"/>
  <c r="S79" i="8" s="1"/>
  <c r="I78" i="8"/>
  <c r="M78" i="8" s="1"/>
  <c r="R78" i="8" s="1"/>
  <c r="K78" i="8"/>
  <c r="O78" i="8" s="1"/>
  <c r="T78" i="8" s="1"/>
  <c r="I79" i="8"/>
  <c r="M79" i="8" s="1"/>
  <c r="R79" i="8" s="1"/>
  <c r="J78" i="8"/>
  <c r="N78" i="8" s="1"/>
  <c r="S78" i="8" s="1"/>
  <c r="K79" i="8"/>
  <c r="O79" i="8" s="1"/>
  <c r="K77" i="8"/>
  <c r="O77" i="8" s="1"/>
  <c r="J77" i="8"/>
  <c r="N77" i="8" s="1"/>
  <c r="S77" i="8" s="1"/>
  <c r="I77" i="8"/>
  <c r="M77" i="8" s="1"/>
  <c r="S103" i="8"/>
  <c r="W107" i="8"/>
  <c r="Q96" i="8"/>
  <c r="T104" i="8"/>
  <c r="X108" i="8"/>
  <c r="T105" i="8"/>
  <c r="X109" i="8"/>
  <c r="V108" i="8"/>
  <c r="R104" i="8"/>
  <c r="W106" i="8"/>
  <c r="S102" i="8"/>
  <c r="V107" i="8"/>
  <c r="R103" i="8"/>
  <c r="U109" i="8"/>
  <c r="Q105" i="8"/>
  <c r="AA82" i="8" l="1"/>
  <c r="AA91" i="8" s="1"/>
  <c r="W78" i="8"/>
  <c r="W87" i="8" s="1"/>
  <c r="Q102" i="8"/>
  <c r="U106" i="8"/>
  <c r="Y80" i="8"/>
  <c r="Y89" i="8" s="1"/>
  <c r="AC84" i="8"/>
  <c r="AC93" i="8" s="1"/>
  <c r="X78" i="8"/>
  <c r="X87" i="8" s="1"/>
  <c r="AB82" i="8"/>
  <c r="AB91" i="8" s="1"/>
  <c r="X79" i="8"/>
  <c r="X88" i="8" s="1"/>
  <c r="AB83" i="8"/>
  <c r="AB92" i="8" s="1"/>
  <c r="AD81" i="8"/>
  <c r="AD90" i="8" s="1"/>
  <c r="Z77" i="8"/>
  <c r="Z86" i="8" s="1"/>
  <c r="T79" i="8"/>
  <c r="R77" i="8"/>
  <c r="Q104" i="8"/>
  <c r="U108" i="8"/>
  <c r="AB81" i="8"/>
  <c r="AB90" i="8" s="1"/>
  <c r="X77" i="8"/>
  <c r="X86" i="8" s="1"/>
  <c r="AA83" i="8"/>
  <c r="AA92" i="8" s="1"/>
  <c r="W79" i="8"/>
  <c r="W88" i="8" s="1"/>
  <c r="Y77" i="8"/>
  <c r="Y86" i="8" s="1"/>
  <c r="AC81" i="8"/>
  <c r="AC90" i="8" s="1"/>
  <c r="AD83" i="8"/>
  <c r="AD92" i="8" s="1"/>
  <c r="Z79" i="8"/>
  <c r="Z88" i="8" s="1"/>
  <c r="Y78" i="8"/>
  <c r="Y87" i="8" s="1"/>
  <c r="AC82" i="8"/>
  <c r="AC91" i="8" s="1"/>
  <c r="W80" i="8"/>
  <c r="W89" i="8" s="1"/>
  <c r="AA84" i="8"/>
  <c r="AA93" i="8" s="1"/>
  <c r="AD84" i="8"/>
  <c r="AD93" i="8" s="1"/>
  <c r="Z80" i="8"/>
  <c r="Z89" i="8" s="1"/>
  <c r="L90" i="9" a="1"/>
  <c r="W77" i="8" l="1"/>
  <c r="AA81" i="8"/>
  <c r="AA90" i="8" s="1"/>
  <c r="AC83" i="8"/>
  <c r="AC92" i="8" s="1"/>
  <c r="Y79" i="8"/>
  <c r="Y88" i="8" s="1"/>
  <c r="I197" i="8" a="1"/>
  <c r="I197" i="8" l="1"/>
  <c r="K197" i="8" s="1"/>
  <c r="I199" i="8"/>
  <c r="K199" i="8" s="1"/>
  <c r="I204" i="8"/>
  <c r="K204" i="8" s="1"/>
  <c r="I203" i="8"/>
  <c r="K203" i="8" s="1"/>
  <c r="I201" i="8"/>
  <c r="K201" i="8" s="1"/>
  <c r="I202" i="8"/>
  <c r="K202" i="8" s="1"/>
  <c r="I200" i="8"/>
  <c r="K200" i="8" s="1"/>
  <c r="I198" i="8"/>
  <c r="K198" i="8" s="1"/>
  <c r="M197" i="8" a="1"/>
  <c r="W86" i="8"/>
  <c r="M200" i="8" l="1"/>
  <c r="O200" i="8" s="1"/>
  <c r="M197" i="8"/>
  <c r="O197" i="8" s="1"/>
  <c r="M204" i="8"/>
  <c r="O204" i="8" s="1"/>
  <c r="M198" i="8"/>
  <c r="O198" i="8" s="1"/>
  <c r="M201" i="8"/>
  <c r="O201" i="8" s="1"/>
  <c r="M203" i="8"/>
  <c r="O203" i="8" s="1"/>
  <c r="M202" i="8"/>
  <c r="O202" i="8" s="1"/>
  <c r="M199" i="8"/>
  <c r="O199" i="8" s="1"/>
  <c r="I208" i="8" l="1" a="1"/>
  <c r="I212" i="8" l="1"/>
  <c r="K212" i="8" s="1"/>
  <c r="M212" i="8" s="1"/>
  <c r="I211" i="8"/>
  <c r="K211" i="8" s="1"/>
  <c r="M211" i="8" s="1"/>
  <c r="I209" i="8"/>
  <c r="K209" i="8" s="1"/>
  <c r="M209" i="8" s="1"/>
  <c r="I213" i="8"/>
  <c r="K213" i="8" s="1"/>
  <c r="M213" i="8" s="1"/>
  <c r="I214" i="8"/>
  <c r="K214" i="8" s="1"/>
  <c r="M214" i="8" s="1"/>
  <c r="I215" i="8"/>
  <c r="K215" i="8" s="1"/>
  <c r="M215" i="8" s="1"/>
  <c r="I210" i="8"/>
  <c r="K210" i="8" s="1"/>
  <c r="M210" i="8" s="1"/>
  <c r="I208" i="8"/>
  <c r="K208" i="8" s="1" a="1"/>
  <c r="K208" i="8" s="1"/>
  <c r="M208" i="8" s="1"/>
  <c r="I219" i="8" s="1" a="1"/>
  <c r="I219" i="8" l="1"/>
  <c r="I220" i="8"/>
  <c r="H225" i="8" l="1" a="1"/>
  <c r="H225" i="8" l="1"/>
  <c r="H226" i="8"/>
  <c r="M226" i="8" s="1"/>
  <c r="M225" i="8" l="1"/>
  <c r="L238" i="8" l="1" a="1"/>
  <c r="L245" i="8" s="1"/>
  <c r="N245" i="8" s="1"/>
  <c r="L240" i="8" l="1"/>
  <c r="N240" i="8" s="1"/>
  <c r="L242" i="8"/>
  <c r="N242" i="8" s="1"/>
  <c r="P242" i="8" s="1"/>
  <c r="L244" i="8"/>
  <c r="N244" i="8" s="1"/>
  <c r="C193" i="9" s="1"/>
  <c r="L238" i="8"/>
  <c r="N238" i="8" s="1"/>
  <c r="C187" i="9" s="1"/>
  <c r="L239" i="8"/>
  <c r="N239" i="8" s="1"/>
  <c r="L243" i="8"/>
  <c r="N243" i="8" s="1"/>
  <c r="L241" i="8"/>
  <c r="N241" i="8" s="1"/>
  <c r="C190" i="9" s="1"/>
  <c r="C191" i="9"/>
  <c r="C189" i="9"/>
  <c r="P240" i="8"/>
  <c r="C188" i="9"/>
  <c r="P239" i="8"/>
  <c r="P243" i="8"/>
  <c r="C192" i="9"/>
  <c r="P241" i="8"/>
  <c r="C194" i="9"/>
  <c r="P245" i="8"/>
  <c r="P244" i="8" l="1"/>
  <c r="J274" i="9"/>
  <c r="H273" i="9"/>
  <c r="H274" i="9"/>
  <c r="J273" i="9"/>
  <c r="J88" i="9"/>
  <c r="J100" i="9"/>
  <c r="K88" i="9"/>
  <c r="J276" i="9"/>
  <c r="J275" i="9"/>
  <c r="H275" i="9"/>
  <c r="K100" i="9"/>
  <c r="H276" i="9"/>
  <c r="J285" i="9" l="1"/>
  <c r="J291" i="9" s="1"/>
  <c r="J294" i="9" s="1"/>
  <c r="J84" i="9"/>
  <c r="O85" i="9" s="1"/>
  <c r="T80" i="9" s="1"/>
  <c r="J82" i="9"/>
  <c r="O82" i="9" s="1"/>
  <c r="I83" i="9"/>
  <c r="K82" i="9"/>
  <c r="P82" i="9" s="1"/>
  <c r="U77" i="9" s="1"/>
  <c r="K84" i="9"/>
  <c r="P85" i="9" s="1"/>
  <c r="U80" i="9" s="1"/>
  <c r="I82" i="9"/>
  <c r="M82" i="9" s="1"/>
  <c r="K83" i="9"/>
  <c r="P84" i="9" s="1"/>
  <c r="U79" i="9" s="1"/>
  <c r="J83" i="9"/>
  <c r="O84" i="9" s="1"/>
  <c r="I84" i="9"/>
  <c r="M85" i="9" s="1"/>
  <c r="R80" i="9" s="1"/>
  <c r="M104" i="9"/>
  <c r="N109" i="9" s="1"/>
  <c r="S97" i="9" s="1"/>
  <c r="L103" i="9"/>
  <c r="L108" i="9" s="1"/>
  <c r="L104" i="9"/>
  <c r="L109" i="9" s="1"/>
  <c r="Q97" i="9" s="1"/>
  <c r="M102" i="9"/>
  <c r="N106" i="9" s="1"/>
  <c r="N104" i="9"/>
  <c r="O109" i="9" s="1"/>
  <c r="T97" i="9" s="1"/>
  <c r="M103" i="9"/>
  <c r="N108" i="9" s="1"/>
  <c r="N102" i="9"/>
  <c r="O106" i="9" s="1"/>
  <c r="T94" i="9" s="1"/>
  <c r="L102" i="9"/>
  <c r="L106" i="9" s="1"/>
  <c r="N103" i="9"/>
  <c r="O108" i="9" s="1"/>
  <c r="T96" i="9" s="1"/>
  <c r="H285" i="9"/>
  <c r="H291" i="9" s="1"/>
  <c r="H294" i="9" s="1"/>
  <c r="M91" i="9"/>
  <c r="M95" i="9" s="1"/>
  <c r="R95" i="9" s="1"/>
  <c r="L90" i="9"/>
  <c r="L94" i="9" s="1"/>
  <c r="Q94" i="9" s="1"/>
  <c r="L92" i="9"/>
  <c r="L96" i="9" s="1"/>
  <c r="M90" i="9"/>
  <c r="M94" i="9" s="1"/>
  <c r="R94" i="9" s="1"/>
  <c r="N90" i="9"/>
  <c r="N94" i="9" s="1"/>
  <c r="S94" i="9" s="1"/>
  <c r="L91" i="9"/>
  <c r="L95" i="9" s="1"/>
  <c r="Q95" i="9" s="1"/>
  <c r="N92" i="9"/>
  <c r="N96" i="9" s="1"/>
  <c r="M92" i="9"/>
  <c r="M96" i="9" s="1"/>
  <c r="R96" i="9" s="1"/>
  <c r="N91" i="9"/>
  <c r="N95" i="9" s="1"/>
  <c r="S95" i="9" s="1"/>
  <c r="S96" i="9" l="1"/>
  <c r="S102" i="9"/>
  <c r="W106" i="9"/>
  <c r="R103" i="9"/>
  <c r="V107" i="9"/>
  <c r="U109" i="9"/>
  <c r="Q105" i="9"/>
  <c r="Z77" i="9"/>
  <c r="AD81" i="9"/>
  <c r="V108" i="9"/>
  <c r="R104" i="9"/>
  <c r="V106" i="9"/>
  <c r="R102" i="9"/>
  <c r="J78" i="9"/>
  <c r="N78" i="9" s="1"/>
  <c r="S78" i="9" s="1"/>
  <c r="K77" i="9"/>
  <c r="O77" i="9" s="1"/>
  <c r="T77" i="9" s="1"/>
  <c r="K78" i="9"/>
  <c r="O78" i="9" s="1"/>
  <c r="T78" i="9" s="1"/>
  <c r="I78" i="9"/>
  <c r="M78" i="9" s="1"/>
  <c r="R78" i="9" s="1"/>
  <c r="K79" i="9"/>
  <c r="O79" i="9" s="1"/>
  <c r="T79" i="9" s="1"/>
  <c r="J79" i="9"/>
  <c r="N79" i="9" s="1"/>
  <c r="S79" i="9" s="1"/>
  <c r="I77" i="9"/>
  <c r="M77" i="9" s="1"/>
  <c r="R77" i="9" s="1"/>
  <c r="I79" i="9"/>
  <c r="M79" i="9" s="1"/>
  <c r="R79" i="9" s="1"/>
  <c r="J77" i="9"/>
  <c r="N77" i="9" s="1"/>
  <c r="S77" i="9" s="1"/>
  <c r="Z79" i="9"/>
  <c r="AD83" i="9"/>
  <c r="W108" i="9"/>
  <c r="S104" i="9"/>
  <c r="Q96" i="9"/>
  <c r="T104" i="9"/>
  <c r="X108" i="9"/>
  <c r="X109" i="9"/>
  <c r="T105" i="9"/>
  <c r="S105" i="9"/>
  <c r="W109" i="9"/>
  <c r="S103" i="9"/>
  <c r="W107" i="9"/>
  <c r="T102" i="9"/>
  <c r="X106" i="9"/>
  <c r="U107" i="9"/>
  <c r="Q103" i="9"/>
  <c r="U106" i="9"/>
  <c r="Q102" i="9"/>
  <c r="W80" i="9"/>
  <c r="AA84" i="9"/>
  <c r="Z80" i="9"/>
  <c r="AD84" i="9"/>
  <c r="AC84" i="9"/>
  <c r="Y80" i="9"/>
  <c r="W77" i="9" l="1"/>
  <c r="AA81" i="9"/>
  <c r="W79" i="9"/>
  <c r="AA83" i="9"/>
  <c r="AC82" i="9"/>
  <c r="Y78" i="9"/>
  <c r="U108" i="9"/>
  <c r="Q104" i="9"/>
  <c r="I197" i="9" s="1" a="1"/>
  <c r="Y77" i="9"/>
  <c r="AC81" i="9"/>
  <c r="AA82" i="9"/>
  <c r="W78" i="9"/>
  <c r="X79" i="9"/>
  <c r="AB83" i="9"/>
  <c r="X77" i="9"/>
  <c r="AB81" i="9"/>
  <c r="AC83" i="9"/>
  <c r="Y79" i="9"/>
  <c r="AB82" i="9"/>
  <c r="X78" i="9"/>
  <c r="I201" i="9" l="1"/>
  <c r="K201" i="9" s="1"/>
  <c r="I197" i="9"/>
  <c r="K197" i="9" s="1"/>
  <c r="I204" i="9"/>
  <c r="K204" i="9" s="1"/>
  <c r="I199" i="9"/>
  <c r="K199" i="9" s="1"/>
  <c r="I203" i="9"/>
  <c r="K203" i="9" s="1"/>
  <c r="I202" i="9"/>
  <c r="K202" i="9" s="1"/>
  <c r="I200" i="9"/>
  <c r="K200" i="9" s="1"/>
  <c r="I198" i="9"/>
  <c r="K198" i="9" s="1"/>
  <c r="M197" i="9" a="1"/>
  <c r="M202" i="9" l="1"/>
  <c r="O202" i="9" s="1"/>
  <c r="M199" i="9"/>
  <c r="O199" i="9" s="1"/>
  <c r="M197" i="9"/>
  <c r="O197" i="9" s="1"/>
  <c r="M204" i="9"/>
  <c r="O204" i="9" s="1"/>
  <c r="M200" i="9"/>
  <c r="O200" i="9" s="1"/>
  <c r="M203" i="9"/>
  <c r="O203" i="9" s="1"/>
  <c r="M198" i="9"/>
  <c r="O198" i="9" s="1"/>
  <c r="M201" i="9"/>
  <c r="O201" i="9" s="1"/>
  <c r="I208" i="9" l="1" a="1"/>
  <c r="I212" i="9" l="1"/>
  <c r="K212" i="9" s="1"/>
  <c r="M212" i="9" s="1"/>
  <c r="I209" i="9"/>
  <c r="K209" i="9" s="1"/>
  <c r="M209" i="9" s="1"/>
  <c r="I211" i="9"/>
  <c r="K211" i="9" s="1"/>
  <c r="M211" i="9" s="1"/>
  <c r="I215" i="9"/>
  <c r="K215" i="9" s="1"/>
  <c r="M215" i="9" s="1"/>
  <c r="I208" i="9"/>
  <c r="K208" i="9" s="1" a="1"/>
  <c r="K208" i="9" s="1"/>
  <c r="M208" i="9" s="1"/>
  <c r="I210" i="9"/>
  <c r="K210" i="9" s="1"/>
  <c r="M210" i="9" s="1"/>
  <c r="I213" i="9"/>
  <c r="K213" i="9" s="1"/>
  <c r="M213" i="9" s="1"/>
  <c r="I214" i="9"/>
  <c r="K214" i="9" s="1"/>
  <c r="M214" i="9" s="1"/>
  <c r="I219" i="9" l="1" a="1"/>
  <c r="I220" i="9" l="1"/>
  <c r="I219" i="9"/>
  <c r="H225" i="9" l="1" a="1"/>
  <c r="H226" i="9" s="1"/>
  <c r="H225" i="9" l="1"/>
  <c r="M225" i="9" s="1"/>
  <c r="M226" i="9" l="1"/>
  <c r="L238" i="9" l="1" a="1"/>
  <c r="L243" i="9" s="1"/>
  <c r="N243" i="9" s="1"/>
  <c r="C192" i="10" s="1"/>
  <c r="L245" i="9" l="1"/>
  <c r="N245" i="9" s="1"/>
  <c r="L238" i="9"/>
  <c r="L240" i="9"/>
  <c r="N240" i="9" s="1"/>
  <c r="P240" i="9" s="1"/>
  <c r="L239" i="9"/>
  <c r="N239" i="9" s="1"/>
  <c r="C188" i="10" s="1"/>
  <c r="L241" i="9"/>
  <c r="N241" i="9" s="1"/>
  <c r="P243" i="9"/>
  <c r="L242" i="9"/>
  <c r="N242" i="9" s="1"/>
  <c r="P242" i="9" s="1"/>
  <c r="L244" i="9"/>
  <c r="N244" i="9" s="1"/>
  <c r="C193" i="10" s="1"/>
  <c r="C189" i="10"/>
  <c r="P245" i="9"/>
  <c r="C194" i="10"/>
  <c r="P241" i="9"/>
  <c r="C190" i="10"/>
  <c r="N238" i="9" l="1"/>
  <c r="P238" i="9" s="1"/>
  <c r="P239" i="9"/>
  <c r="C191" i="10"/>
  <c r="K100" i="10"/>
  <c r="P244" i="9"/>
  <c r="K88" i="10"/>
  <c r="H276" i="10"/>
  <c r="H275" i="10"/>
  <c r="J276" i="10"/>
  <c r="J275" i="10"/>
  <c r="C187" i="10" l="1"/>
  <c r="H273" i="10" l="1"/>
  <c r="J88" i="10"/>
  <c r="H274" i="10"/>
  <c r="J274" i="10"/>
  <c r="J273" i="10"/>
  <c r="J100" i="10"/>
  <c r="M103" i="10" l="1"/>
  <c r="N108" i="10" s="1"/>
  <c r="N102" i="10"/>
  <c r="O106" i="10" s="1"/>
  <c r="T94" i="10" s="1"/>
  <c r="M104" i="10"/>
  <c r="N109" i="10" s="1"/>
  <c r="S97" i="10" s="1"/>
  <c r="L102" i="10"/>
  <c r="L106" i="10" s="1"/>
  <c r="N103" i="10"/>
  <c r="O108" i="10" s="1"/>
  <c r="T96" i="10" s="1"/>
  <c r="L103" i="10"/>
  <c r="L108" i="10" s="1"/>
  <c r="N104" i="10"/>
  <c r="O109" i="10" s="1"/>
  <c r="T97" i="10" s="1"/>
  <c r="L104" i="10"/>
  <c r="L109" i="10" s="1"/>
  <c r="Q97" i="10" s="1"/>
  <c r="M102" i="10"/>
  <c r="N106" i="10" s="1"/>
  <c r="M90" i="10"/>
  <c r="M94" i="10" s="1"/>
  <c r="R94" i="10" s="1"/>
  <c r="M91" i="10"/>
  <c r="M95" i="10" s="1"/>
  <c r="R95" i="10" s="1"/>
  <c r="N92" i="10"/>
  <c r="N96" i="10" s="1"/>
  <c r="S96" i="10" s="1"/>
  <c r="L91" i="10"/>
  <c r="L95" i="10" s="1"/>
  <c r="Q95" i="10" s="1"/>
  <c r="L90" i="10"/>
  <c r="L94" i="10" s="1"/>
  <c r="L92" i="10"/>
  <c r="L96" i="10" s="1"/>
  <c r="Q96" i="10" s="1"/>
  <c r="M92" i="10"/>
  <c r="M96" i="10" s="1"/>
  <c r="R96" i="10" s="1"/>
  <c r="N90" i="10"/>
  <c r="N94" i="10" s="1"/>
  <c r="S94" i="10" s="1"/>
  <c r="N91" i="10"/>
  <c r="N95" i="10" s="1"/>
  <c r="S95" i="10" s="1"/>
  <c r="J285" i="10"/>
  <c r="J291" i="10" s="1"/>
  <c r="J294" i="10" s="1"/>
  <c r="H285" i="10"/>
  <c r="H291" i="10" s="1"/>
  <c r="H294" i="10" s="1"/>
  <c r="V108" i="10" l="1"/>
  <c r="R104" i="10"/>
  <c r="U109" i="10"/>
  <c r="Q105" i="10"/>
  <c r="V107" i="10"/>
  <c r="R103" i="10"/>
  <c r="T105" i="10"/>
  <c r="X109" i="10"/>
  <c r="S105" i="10"/>
  <c r="W109" i="10"/>
  <c r="I82" i="10"/>
  <c r="M82" i="10" s="1"/>
  <c r="K82" i="10"/>
  <c r="P82" i="10" s="1"/>
  <c r="U77" i="10" s="1"/>
  <c r="I83" i="10"/>
  <c r="I84" i="10"/>
  <c r="M85" i="10" s="1"/>
  <c r="R80" i="10" s="1"/>
  <c r="K84" i="10"/>
  <c r="P85" i="10" s="1"/>
  <c r="U80" i="10" s="1"/>
  <c r="K83" i="10"/>
  <c r="P84" i="10" s="1"/>
  <c r="U79" i="10" s="1"/>
  <c r="J83" i="10"/>
  <c r="O84" i="10" s="1"/>
  <c r="J82" i="10"/>
  <c r="O82" i="10" s="1"/>
  <c r="J84" i="10"/>
  <c r="O85" i="10" s="1"/>
  <c r="T80" i="10" s="1"/>
  <c r="Q94" i="10"/>
  <c r="V106" i="10"/>
  <c r="R102" i="10"/>
  <c r="T102" i="10"/>
  <c r="X106" i="10"/>
  <c r="J78" i="10"/>
  <c r="N78" i="10" s="1"/>
  <c r="S78" i="10" s="1"/>
  <c r="K78" i="10"/>
  <c r="O78" i="10" s="1"/>
  <c r="T78" i="10" s="1"/>
  <c r="I77" i="10"/>
  <c r="M77" i="10" s="1"/>
  <c r="R77" i="10" s="1"/>
  <c r="I79" i="10"/>
  <c r="M79" i="10" s="1"/>
  <c r="R79" i="10" s="1"/>
  <c r="J79" i="10"/>
  <c r="N79" i="10" s="1"/>
  <c r="S79" i="10" s="1"/>
  <c r="K77" i="10"/>
  <c r="O77" i="10" s="1"/>
  <c r="I78" i="10"/>
  <c r="M78" i="10" s="1"/>
  <c r="R78" i="10" s="1"/>
  <c r="J77" i="10"/>
  <c r="N77" i="10" s="1"/>
  <c r="S77" i="10" s="1"/>
  <c r="K79" i="10"/>
  <c r="O79" i="10" s="1"/>
  <c r="W108" i="10"/>
  <c r="S104" i="10"/>
  <c r="U108" i="10"/>
  <c r="Q104" i="10"/>
  <c r="S103" i="10"/>
  <c r="W107" i="10"/>
  <c r="W106" i="10"/>
  <c r="S102" i="10"/>
  <c r="U107" i="10"/>
  <c r="Q103" i="10"/>
  <c r="T104" i="10"/>
  <c r="X108" i="10"/>
  <c r="AA83" i="10" l="1"/>
  <c r="W79" i="10"/>
  <c r="U106" i="10"/>
  <c r="Q102" i="10"/>
  <c r="I197" i="10" s="1" a="1"/>
  <c r="AC84" i="10"/>
  <c r="Y80" i="10"/>
  <c r="AD84" i="10"/>
  <c r="Z80" i="10"/>
  <c r="X77" i="10"/>
  <c r="AB81" i="10"/>
  <c r="AD83" i="10"/>
  <c r="Z79" i="10"/>
  <c r="AA82" i="10"/>
  <c r="W78" i="10"/>
  <c r="Y78" i="10"/>
  <c r="AC82" i="10"/>
  <c r="T77" i="10"/>
  <c r="AA84" i="10"/>
  <c r="W80" i="10"/>
  <c r="Z77" i="10"/>
  <c r="AD81" i="10"/>
  <c r="AA81" i="10"/>
  <c r="W77" i="10"/>
  <c r="X79" i="10"/>
  <c r="AB83" i="10"/>
  <c r="X78" i="10"/>
  <c r="AB82" i="10"/>
  <c r="T79" i="10"/>
  <c r="AC83" i="10" l="1"/>
  <c r="Y79" i="10"/>
  <c r="I203" i="10"/>
  <c r="K203" i="10" s="1"/>
  <c r="I200" i="10"/>
  <c r="K200" i="10" s="1"/>
  <c r="I204" i="10"/>
  <c r="K204" i="10" s="1"/>
  <c r="I199" i="10"/>
  <c r="K199" i="10" s="1"/>
  <c r="I201" i="10"/>
  <c r="K201" i="10" s="1"/>
  <c r="I202" i="10"/>
  <c r="K202" i="10" s="1"/>
  <c r="I198" i="10"/>
  <c r="K198" i="10" s="1"/>
  <c r="I197" i="10"/>
  <c r="K197" i="10" s="1"/>
  <c r="AC81" i="10"/>
  <c r="Y77" i="10"/>
  <c r="M197" i="10" l="1" a="1"/>
  <c r="M202" i="10" l="1"/>
  <c r="O202" i="10" s="1"/>
  <c r="M203" i="10"/>
  <c r="O203" i="10" s="1"/>
  <c r="M197" i="10"/>
  <c r="O197" i="10" s="1"/>
  <c r="M198" i="10"/>
  <c r="O198" i="10" s="1"/>
  <c r="M200" i="10"/>
  <c r="O200" i="10" s="1"/>
  <c r="M204" i="10"/>
  <c r="O204" i="10" s="1"/>
  <c r="M201" i="10"/>
  <c r="O201" i="10" s="1"/>
  <c r="M199" i="10"/>
  <c r="O199" i="10" s="1"/>
  <c r="I208" i="10" l="1" a="1"/>
  <c r="I210" i="10" l="1"/>
  <c r="K210" i="10" s="1"/>
  <c r="M210" i="10" s="1"/>
  <c r="I215" i="10"/>
  <c r="K215" i="10" s="1"/>
  <c r="M215" i="10" s="1"/>
  <c r="I212" i="10"/>
  <c r="K212" i="10" s="1"/>
  <c r="M212" i="10" s="1"/>
  <c r="I213" i="10"/>
  <c r="K213" i="10" s="1"/>
  <c r="M213" i="10" s="1"/>
  <c r="I209" i="10"/>
  <c r="K209" i="10" s="1"/>
  <c r="M209" i="10" s="1"/>
  <c r="I211" i="10"/>
  <c r="K211" i="10" s="1"/>
  <c r="M211" i="10" s="1"/>
  <c r="I208" i="10"/>
  <c r="K208" i="10" s="1" a="1"/>
  <c r="K208" i="10" s="1"/>
  <c r="M208" i="10" s="1"/>
  <c r="I219" i="10" s="1" a="1"/>
  <c r="I214" i="10"/>
  <c r="K214" i="10" s="1"/>
  <c r="M214" i="10" s="1"/>
  <c r="I219" i="10" l="1"/>
  <c r="I220" i="10"/>
  <c r="H225" i="10" s="1" a="1"/>
  <c r="H226" i="10" l="1"/>
  <c r="H225" i="10"/>
  <c r="M225" i="10" s="1"/>
  <c r="M226" i="10" l="1"/>
  <c r="L238" i="10" l="1" a="1"/>
  <c r="L244" i="10" l="1"/>
  <c r="N244" i="10" s="1"/>
  <c r="P244" i="10" s="1"/>
  <c r="L240" i="10"/>
  <c r="N240" i="10" s="1"/>
  <c r="P240" i="10" s="1"/>
  <c r="L245" i="10"/>
  <c r="N245" i="10" s="1"/>
  <c r="P245" i="10" s="1"/>
  <c r="L241" i="10"/>
  <c r="N241" i="10" s="1"/>
  <c r="P241" i="10" s="1"/>
  <c r="L242" i="10"/>
  <c r="N242" i="10" s="1"/>
  <c r="P242" i="10" s="1"/>
  <c r="L238" i="10"/>
  <c r="N238" i="10" s="1"/>
  <c r="P238" i="10" s="1"/>
  <c r="L239" i="10"/>
  <c r="N239" i="10" s="1"/>
  <c r="P239" i="10" s="1"/>
  <c r="L243" i="10"/>
  <c r="N243" i="10" s="1"/>
  <c r="P243" i="10" s="1"/>
</calcChain>
</file>

<file path=xl/sharedStrings.xml><?xml version="1.0" encoding="utf-8"?>
<sst xmlns="http://schemas.openxmlformats.org/spreadsheetml/2006/main" count="727" uniqueCount="114">
  <si>
    <t>ρ</t>
  </si>
  <si>
    <t>Δt</t>
  </si>
  <si>
    <t>γ</t>
  </si>
  <si>
    <t>вязкость</t>
  </si>
  <si>
    <t>X</t>
  </si>
  <si>
    <t>Y</t>
  </si>
  <si>
    <t>одна точка интегрирования</t>
  </si>
  <si>
    <t>ось</t>
  </si>
  <si>
    <t>координата т. интегр.</t>
  </si>
  <si>
    <t xml:space="preserve">производные функции формы </t>
  </si>
  <si>
    <t>матрица Якоби [J]</t>
  </si>
  <si>
    <t>detJ</t>
  </si>
  <si>
    <t>detJ* коэф</t>
  </si>
  <si>
    <t>ξ</t>
  </si>
  <si>
    <t>η</t>
  </si>
  <si>
    <t>N1</t>
  </si>
  <si>
    <t>N2</t>
  </si>
  <si>
    <t>N3</t>
  </si>
  <si>
    <t>NT</t>
  </si>
  <si>
    <t>NT*N</t>
  </si>
  <si>
    <t>NT*N*detJ*коэф</t>
  </si>
  <si>
    <t xml:space="preserve">  </t>
  </si>
  <si>
    <t>B</t>
  </si>
  <si>
    <t>BT</t>
  </si>
  <si>
    <t>BT*B</t>
  </si>
  <si>
    <t>BT*B*det[J]*коэф</t>
  </si>
  <si>
    <t>K1</t>
  </si>
  <si>
    <t>K2</t>
  </si>
  <si>
    <t>L-1</t>
  </si>
  <si>
    <t>один раз умножаем!!!!!</t>
  </si>
  <si>
    <t>{J]-1</t>
  </si>
  <si>
    <t>S</t>
  </si>
  <si>
    <t>1 треугольник</t>
  </si>
  <si>
    <t>2 треугольник</t>
  </si>
  <si>
    <t>M1</t>
  </si>
  <si>
    <t>M2</t>
  </si>
  <si>
    <t>C1</t>
  </si>
  <si>
    <t>M global</t>
  </si>
  <si>
    <t>в матрице конвекции скорость задана в центре элемента (в точке интегрирования)</t>
  </si>
  <si>
    <t>Bx</t>
  </si>
  <si>
    <t>By</t>
  </si>
  <si>
    <t>ux</t>
  </si>
  <si>
    <t>uy</t>
  </si>
  <si>
    <t>1 треуг</t>
  </si>
  <si>
    <t>2 треуг</t>
  </si>
  <si>
    <t>C2</t>
  </si>
  <si>
    <t>B1</t>
  </si>
  <si>
    <t>B2</t>
  </si>
  <si>
    <t>B global</t>
  </si>
  <si>
    <t>2*8</t>
  </si>
  <si>
    <t>глобальные узлы</t>
  </si>
  <si>
    <t>8*8</t>
  </si>
  <si>
    <t>M1 scalar</t>
  </si>
  <si>
    <t>M2 scalar</t>
  </si>
  <si>
    <t>M scalar</t>
  </si>
  <si>
    <t>M lump</t>
  </si>
  <si>
    <t>С full</t>
  </si>
  <si>
    <t>K full</t>
  </si>
  <si>
    <t>L</t>
  </si>
  <si>
    <t>2*2</t>
  </si>
  <si>
    <t>M-1</t>
  </si>
  <si>
    <t>M-1*BT</t>
  </si>
  <si>
    <t>un</t>
  </si>
  <si>
    <t>fn</t>
  </si>
  <si>
    <t>горизонтальное течение</t>
  </si>
  <si>
    <t>C*un</t>
  </si>
  <si>
    <t>*(-1)</t>
  </si>
  <si>
    <t>(-1)*γ*K*un</t>
  </si>
  <si>
    <t>R</t>
  </si>
  <si>
    <t>M-1*R</t>
  </si>
  <si>
    <t>Δt*M-1*R</t>
  </si>
  <si>
    <t>u*</t>
  </si>
  <si>
    <t>d</t>
  </si>
  <si>
    <t>p n+1</t>
  </si>
  <si>
    <t>g</t>
  </si>
  <si>
    <t>h</t>
  </si>
  <si>
    <t>u n+1</t>
  </si>
  <si>
    <t>1x</t>
  </si>
  <si>
    <t>1y</t>
  </si>
  <si>
    <t>2x</t>
  </si>
  <si>
    <t>2y</t>
  </si>
  <si>
    <t>3x</t>
  </si>
  <si>
    <t>3y</t>
  </si>
  <si>
    <t>4x</t>
  </si>
  <si>
    <t>4y</t>
  </si>
  <si>
    <t>постоянно пересчитываем значение в центре (можно и через функции формы)</t>
  </si>
  <si>
    <t>пересчитывается на каждом шаге!!!</t>
  </si>
  <si>
    <t>не забыть плотность!!!</t>
  </si>
  <si>
    <t>обязательно давление</t>
  </si>
  <si>
    <t>трансп dNi/dx, dNi/dy</t>
  </si>
  <si>
    <t>локальные узлы</t>
  </si>
  <si>
    <t>умножаем на вязкость</t>
  </si>
  <si>
    <t>попробуем посчитать турбулентность</t>
  </si>
  <si>
    <t>пробуем посчитать турбулентность</t>
  </si>
  <si>
    <t>Пробуем считать турбулентность</t>
  </si>
  <si>
    <t>для 1 треугольника</t>
  </si>
  <si>
    <t>для 2 треугольника</t>
  </si>
  <si>
    <t>du/dx</t>
  </si>
  <si>
    <t>du/dy</t>
  </si>
  <si>
    <t>dv/dx</t>
  </si>
  <si>
    <t>dv/dy</t>
  </si>
  <si>
    <t>/S/</t>
  </si>
  <si>
    <t>y (расстояние до н.г)</t>
  </si>
  <si>
    <t>δ (ширина канала)</t>
  </si>
  <si>
    <t>lm</t>
  </si>
  <si>
    <t>lm^2</t>
  </si>
  <si>
    <r>
      <t>γ</t>
    </r>
    <r>
      <rPr>
        <sz val="11"/>
        <color theme="1"/>
        <rFont val="Calibri"/>
        <family val="2"/>
      </rPr>
      <t>t</t>
    </r>
  </si>
  <si>
    <t>γ total</t>
  </si>
  <si>
    <t>K full (с турбулентностью)</t>
  </si>
  <si>
    <t>с турбулентностью</t>
  </si>
  <si>
    <t>Пробуем считать турбулентность (не забудь плотность)</t>
  </si>
  <si>
    <t>p1_скорр = p1 + (fn_среднее - (p1 + p2)/2)</t>
  </si>
  <si>
    <t>p2_скорр = p2 + (fn_среднее - (p1 + p2)/2)</t>
  </si>
  <si>
    <t>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</si>
</sst>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theme="1"/>
      <name val="Calibri"/>
      <family val="2"/>
    </font>
    <font>
      <sz val="7"/>
      <color theme="1"/>
      <name val="Calibri"/>
      <family val="2"/>
      <charset val="204"/>
    </font>
    <font>
      <sz val="8"/>
      <color rgb="FF0F1115"/>
      <name val="Consolas"/>
      <family val="3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4" xfId="0" applyBorder="1"/>
    <xf numFmtId="0" fontId="0" fillId="2" borderId="0" xfId="0" applyFill="1"/>
    <xf numFmtId="0" fontId="0" fillId="0" borderId="7" xfId="0" applyBorder="1"/>
    <xf numFmtId="164" fontId="0" fillId="0" borderId="0" xfId="0" applyNumberFormat="1"/>
    <xf numFmtId="164" fontId="1" fillId="0" borderId="0" xfId="0" applyNumberFormat="1" applyFont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3" fillId="0" borderId="0" xfId="0" applyFont="1"/>
    <xf numFmtId="0" fontId="0" fillId="0" borderId="0" xfId="0" applyFill="1" applyBorder="1"/>
    <xf numFmtId="0" fontId="0" fillId="0" borderId="18" xfId="0" applyBorder="1"/>
    <xf numFmtId="0" fontId="0" fillId="0" borderId="19" xfId="0" applyBorder="1"/>
    <xf numFmtId="0" fontId="2" fillId="0" borderId="0" xfId="0" applyFont="1"/>
    <xf numFmtId="0" fontId="2" fillId="0" borderId="9" xfId="0" applyFont="1" applyBorder="1"/>
    <xf numFmtId="0" fontId="2" fillId="0" borderId="10" xfId="0" applyFont="1" applyBorder="1"/>
    <xf numFmtId="0" fontId="2" fillId="0" borderId="14" xfId="0" applyFont="1" applyBorder="1"/>
    <xf numFmtId="0" fontId="0" fillId="2" borderId="8" xfId="0" applyFill="1" applyBorder="1"/>
    <xf numFmtId="0" fontId="0" fillId="2" borderId="10" xfId="0" applyFill="1" applyBorder="1"/>
    <xf numFmtId="0" fontId="0" fillId="2" borderId="13" xfId="0" applyFill="1" applyBorder="1"/>
    <xf numFmtId="0" fontId="0" fillId="2" borderId="15" xfId="0" applyFill="1" applyBorder="1"/>
    <xf numFmtId="0" fontId="0" fillId="0" borderId="20" xfId="0" applyBorder="1"/>
    <xf numFmtId="0" fontId="0" fillId="0" borderId="21" xfId="0" applyBorder="1"/>
    <xf numFmtId="0" fontId="0" fillId="3" borderId="0" xfId="0" applyFill="1"/>
    <xf numFmtId="0" fontId="4" fillId="0" borderId="0" xfId="0" applyFont="1" applyAlignment="1">
      <alignment wrapText="1"/>
    </xf>
    <xf numFmtId="0" fontId="1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tmp"/><Relationship Id="rId18" Type="http://schemas.openxmlformats.org/officeDocument/2006/relationships/image" Target="../media/image18.tmp"/><Relationship Id="rId26" Type="http://schemas.openxmlformats.org/officeDocument/2006/relationships/image" Target="../media/image26.tmp"/><Relationship Id="rId39" Type="http://schemas.openxmlformats.org/officeDocument/2006/relationships/image" Target="../media/image39.tmp"/><Relationship Id="rId3" Type="http://schemas.openxmlformats.org/officeDocument/2006/relationships/image" Target="../media/image3.tmp"/><Relationship Id="rId21" Type="http://schemas.openxmlformats.org/officeDocument/2006/relationships/image" Target="../media/image21.tmp"/><Relationship Id="rId34" Type="http://schemas.openxmlformats.org/officeDocument/2006/relationships/image" Target="../media/image34.tmp"/><Relationship Id="rId7" Type="http://schemas.openxmlformats.org/officeDocument/2006/relationships/image" Target="../media/image7.tmp"/><Relationship Id="rId12" Type="http://schemas.openxmlformats.org/officeDocument/2006/relationships/image" Target="../media/image12.tmp"/><Relationship Id="rId17" Type="http://schemas.openxmlformats.org/officeDocument/2006/relationships/image" Target="../media/image17.tmp"/><Relationship Id="rId25" Type="http://schemas.openxmlformats.org/officeDocument/2006/relationships/image" Target="../media/image25.tmp"/><Relationship Id="rId33" Type="http://schemas.openxmlformats.org/officeDocument/2006/relationships/image" Target="../media/image33.tmp"/><Relationship Id="rId38" Type="http://schemas.openxmlformats.org/officeDocument/2006/relationships/image" Target="../media/image38.tmp"/><Relationship Id="rId2" Type="http://schemas.openxmlformats.org/officeDocument/2006/relationships/image" Target="../media/image2.tmp"/><Relationship Id="rId16" Type="http://schemas.openxmlformats.org/officeDocument/2006/relationships/image" Target="../media/image16.tmp"/><Relationship Id="rId20" Type="http://schemas.openxmlformats.org/officeDocument/2006/relationships/image" Target="../media/image20.tmp"/><Relationship Id="rId29" Type="http://schemas.openxmlformats.org/officeDocument/2006/relationships/image" Target="../media/image29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tmp"/><Relationship Id="rId24" Type="http://schemas.openxmlformats.org/officeDocument/2006/relationships/image" Target="../media/image24.tmp"/><Relationship Id="rId32" Type="http://schemas.openxmlformats.org/officeDocument/2006/relationships/image" Target="../media/image32.tmp"/><Relationship Id="rId37" Type="http://schemas.openxmlformats.org/officeDocument/2006/relationships/image" Target="../media/image37.tmp"/><Relationship Id="rId40" Type="http://schemas.openxmlformats.org/officeDocument/2006/relationships/image" Target="../media/image40.tmp"/><Relationship Id="rId5" Type="http://schemas.openxmlformats.org/officeDocument/2006/relationships/image" Target="../media/image5.tmp"/><Relationship Id="rId15" Type="http://schemas.openxmlformats.org/officeDocument/2006/relationships/image" Target="../media/image15.tmp"/><Relationship Id="rId23" Type="http://schemas.openxmlformats.org/officeDocument/2006/relationships/image" Target="../media/image23.tmp"/><Relationship Id="rId28" Type="http://schemas.openxmlformats.org/officeDocument/2006/relationships/image" Target="../media/image28.tmp"/><Relationship Id="rId36" Type="http://schemas.openxmlformats.org/officeDocument/2006/relationships/image" Target="../media/image36.tmp"/><Relationship Id="rId10" Type="http://schemas.openxmlformats.org/officeDocument/2006/relationships/image" Target="../media/image10.tmp"/><Relationship Id="rId19" Type="http://schemas.openxmlformats.org/officeDocument/2006/relationships/image" Target="../media/image19.tmp"/><Relationship Id="rId31" Type="http://schemas.openxmlformats.org/officeDocument/2006/relationships/image" Target="../media/image31.tmp"/><Relationship Id="rId4" Type="http://schemas.openxmlformats.org/officeDocument/2006/relationships/image" Target="../media/image4.tmp"/><Relationship Id="rId9" Type="http://schemas.openxmlformats.org/officeDocument/2006/relationships/image" Target="../media/image9.tmp"/><Relationship Id="rId14" Type="http://schemas.openxmlformats.org/officeDocument/2006/relationships/image" Target="../media/image14.tmp"/><Relationship Id="rId22" Type="http://schemas.openxmlformats.org/officeDocument/2006/relationships/image" Target="../media/image22.tmp"/><Relationship Id="rId27" Type="http://schemas.openxmlformats.org/officeDocument/2006/relationships/image" Target="../media/image27.tmp"/><Relationship Id="rId30" Type="http://schemas.openxmlformats.org/officeDocument/2006/relationships/image" Target="../media/image30.tmp"/><Relationship Id="rId35" Type="http://schemas.openxmlformats.org/officeDocument/2006/relationships/image" Target="../media/image35.tmp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tmp"/><Relationship Id="rId18" Type="http://schemas.openxmlformats.org/officeDocument/2006/relationships/image" Target="../media/image18.tmp"/><Relationship Id="rId26" Type="http://schemas.openxmlformats.org/officeDocument/2006/relationships/image" Target="../media/image26.tmp"/><Relationship Id="rId3" Type="http://schemas.openxmlformats.org/officeDocument/2006/relationships/image" Target="../media/image3.tmp"/><Relationship Id="rId21" Type="http://schemas.openxmlformats.org/officeDocument/2006/relationships/image" Target="../media/image21.tmp"/><Relationship Id="rId34" Type="http://schemas.openxmlformats.org/officeDocument/2006/relationships/image" Target="../media/image36.tmp"/><Relationship Id="rId7" Type="http://schemas.openxmlformats.org/officeDocument/2006/relationships/image" Target="../media/image7.tmp"/><Relationship Id="rId12" Type="http://schemas.openxmlformats.org/officeDocument/2006/relationships/image" Target="../media/image12.tmp"/><Relationship Id="rId17" Type="http://schemas.openxmlformats.org/officeDocument/2006/relationships/image" Target="../media/image17.tmp"/><Relationship Id="rId25" Type="http://schemas.openxmlformats.org/officeDocument/2006/relationships/image" Target="../media/image25.tmp"/><Relationship Id="rId33" Type="http://schemas.openxmlformats.org/officeDocument/2006/relationships/image" Target="../media/image35.tmp"/><Relationship Id="rId38" Type="http://schemas.openxmlformats.org/officeDocument/2006/relationships/image" Target="../media/image40.tmp"/><Relationship Id="rId2" Type="http://schemas.openxmlformats.org/officeDocument/2006/relationships/image" Target="../media/image2.tmp"/><Relationship Id="rId16" Type="http://schemas.openxmlformats.org/officeDocument/2006/relationships/image" Target="../media/image16.tmp"/><Relationship Id="rId20" Type="http://schemas.openxmlformats.org/officeDocument/2006/relationships/image" Target="../media/image20.tmp"/><Relationship Id="rId29" Type="http://schemas.openxmlformats.org/officeDocument/2006/relationships/image" Target="../media/image29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tmp"/><Relationship Id="rId24" Type="http://schemas.openxmlformats.org/officeDocument/2006/relationships/image" Target="../media/image24.tmp"/><Relationship Id="rId32" Type="http://schemas.openxmlformats.org/officeDocument/2006/relationships/image" Target="../media/image34.tmp"/><Relationship Id="rId37" Type="http://schemas.openxmlformats.org/officeDocument/2006/relationships/image" Target="../media/image39.tmp"/><Relationship Id="rId5" Type="http://schemas.openxmlformats.org/officeDocument/2006/relationships/image" Target="../media/image5.tmp"/><Relationship Id="rId15" Type="http://schemas.openxmlformats.org/officeDocument/2006/relationships/image" Target="../media/image15.tmp"/><Relationship Id="rId23" Type="http://schemas.openxmlformats.org/officeDocument/2006/relationships/image" Target="../media/image23.tmp"/><Relationship Id="rId28" Type="http://schemas.openxmlformats.org/officeDocument/2006/relationships/image" Target="../media/image28.tmp"/><Relationship Id="rId36" Type="http://schemas.openxmlformats.org/officeDocument/2006/relationships/image" Target="../media/image38.tmp"/><Relationship Id="rId10" Type="http://schemas.openxmlformats.org/officeDocument/2006/relationships/image" Target="../media/image10.tmp"/><Relationship Id="rId19" Type="http://schemas.openxmlformats.org/officeDocument/2006/relationships/image" Target="../media/image19.tmp"/><Relationship Id="rId31" Type="http://schemas.openxmlformats.org/officeDocument/2006/relationships/image" Target="../media/image31.tmp"/><Relationship Id="rId4" Type="http://schemas.openxmlformats.org/officeDocument/2006/relationships/image" Target="../media/image4.tmp"/><Relationship Id="rId9" Type="http://schemas.openxmlformats.org/officeDocument/2006/relationships/image" Target="../media/image9.tmp"/><Relationship Id="rId14" Type="http://schemas.openxmlformats.org/officeDocument/2006/relationships/image" Target="../media/image14.tmp"/><Relationship Id="rId22" Type="http://schemas.openxmlformats.org/officeDocument/2006/relationships/image" Target="../media/image22.tmp"/><Relationship Id="rId27" Type="http://schemas.openxmlformats.org/officeDocument/2006/relationships/image" Target="../media/image27.tmp"/><Relationship Id="rId30" Type="http://schemas.openxmlformats.org/officeDocument/2006/relationships/image" Target="../media/image30.tmp"/><Relationship Id="rId35" Type="http://schemas.openxmlformats.org/officeDocument/2006/relationships/image" Target="../media/image37.tmp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tmp"/><Relationship Id="rId18" Type="http://schemas.openxmlformats.org/officeDocument/2006/relationships/image" Target="../media/image18.tmp"/><Relationship Id="rId26" Type="http://schemas.openxmlformats.org/officeDocument/2006/relationships/image" Target="../media/image26.tmp"/><Relationship Id="rId3" Type="http://schemas.openxmlformats.org/officeDocument/2006/relationships/image" Target="../media/image3.tmp"/><Relationship Id="rId21" Type="http://schemas.openxmlformats.org/officeDocument/2006/relationships/image" Target="../media/image21.tmp"/><Relationship Id="rId34" Type="http://schemas.openxmlformats.org/officeDocument/2006/relationships/image" Target="../media/image36.tmp"/><Relationship Id="rId7" Type="http://schemas.openxmlformats.org/officeDocument/2006/relationships/image" Target="../media/image7.tmp"/><Relationship Id="rId12" Type="http://schemas.openxmlformats.org/officeDocument/2006/relationships/image" Target="../media/image12.tmp"/><Relationship Id="rId17" Type="http://schemas.openxmlformats.org/officeDocument/2006/relationships/image" Target="../media/image17.tmp"/><Relationship Id="rId25" Type="http://schemas.openxmlformats.org/officeDocument/2006/relationships/image" Target="../media/image25.tmp"/><Relationship Id="rId33" Type="http://schemas.openxmlformats.org/officeDocument/2006/relationships/image" Target="../media/image35.tmp"/><Relationship Id="rId38" Type="http://schemas.openxmlformats.org/officeDocument/2006/relationships/image" Target="../media/image40.tmp"/><Relationship Id="rId2" Type="http://schemas.openxmlformats.org/officeDocument/2006/relationships/image" Target="../media/image2.tmp"/><Relationship Id="rId16" Type="http://schemas.openxmlformats.org/officeDocument/2006/relationships/image" Target="../media/image16.tmp"/><Relationship Id="rId20" Type="http://schemas.openxmlformats.org/officeDocument/2006/relationships/image" Target="../media/image20.tmp"/><Relationship Id="rId29" Type="http://schemas.openxmlformats.org/officeDocument/2006/relationships/image" Target="../media/image29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tmp"/><Relationship Id="rId24" Type="http://schemas.openxmlformats.org/officeDocument/2006/relationships/image" Target="../media/image24.tmp"/><Relationship Id="rId32" Type="http://schemas.openxmlformats.org/officeDocument/2006/relationships/image" Target="../media/image34.tmp"/><Relationship Id="rId37" Type="http://schemas.openxmlformats.org/officeDocument/2006/relationships/image" Target="../media/image39.tmp"/><Relationship Id="rId5" Type="http://schemas.openxmlformats.org/officeDocument/2006/relationships/image" Target="../media/image5.tmp"/><Relationship Id="rId15" Type="http://schemas.openxmlformats.org/officeDocument/2006/relationships/image" Target="../media/image15.tmp"/><Relationship Id="rId23" Type="http://schemas.openxmlformats.org/officeDocument/2006/relationships/image" Target="../media/image23.tmp"/><Relationship Id="rId28" Type="http://schemas.openxmlformats.org/officeDocument/2006/relationships/image" Target="../media/image28.tmp"/><Relationship Id="rId36" Type="http://schemas.openxmlformats.org/officeDocument/2006/relationships/image" Target="../media/image38.tmp"/><Relationship Id="rId10" Type="http://schemas.openxmlformats.org/officeDocument/2006/relationships/image" Target="../media/image10.tmp"/><Relationship Id="rId19" Type="http://schemas.openxmlformats.org/officeDocument/2006/relationships/image" Target="../media/image19.tmp"/><Relationship Id="rId31" Type="http://schemas.openxmlformats.org/officeDocument/2006/relationships/image" Target="../media/image31.tmp"/><Relationship Id="rId4" Type="http://schemas.openxmlformats.org/officeDocument/2006/relationships/image" Target="../media/image4.tmp"/><Relationship Id="rId9" Type="http://schemas.openxmlformats.org/officeDocument/2006/relationships/image" Target="../media/image9.tmp"/><Relationship Id="rId14" Type="http://schemas.openxmlformats.org/officeDocument/2006/relationships/image" Target="../media/image14.tmp"/><Relationship Id="rId22" Type="http://schemas.openxmlformats.org/officeDocument/2006/relationships/image" Target="../media/image22.tmp"/><Relationship Id="rId27" Type="http://schemas.openxmlformats.org/officeDocument/2006/relationships/image" Target="../media/image27.tmp"/><Relationship Id="rId30" Type="http://schemas.openxmlformats.org/officeDocument/2006/relationships/image" Target="../media/image30.tmp"/><Relationship Id="rId35" Type="http://schemas.openxmlformats.org/officeDocument/2006/relationships/image" Target="../media/image37.tmp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tmp"/><Relationship Id="rId18" Type="http://schemas.openxmlformats.org/officeDocument/2006/relationships/image" Target="../media/image18.tmp"/><Relationship Id="rId26" Type="http://schemas.openxmlformats.org/officeDocument/2006/relationships/image" Target="../media/image26.tmp"/><Relationship Id="rId3" Type="http://schemas.openxmlformats.org/officeDocument/2006/relationships/image" Target="../media/image3.tmp"/><Relationship Id="rId21" Type="http://schemas.openxmlformats.org/officeDocument/2006/relationships/image" Target="../media/image21.tmp"/><Relationship Id="rId34" Type="http://schemas.openxmlformats.org/officeDocument/2006/relationships/image" Target="../media/image36.tmp"/><Relationship Id="rId7" Type="http://schemas.openxmlformats.org/officeDocument/2006/relationships/image" Target="../media/image7.tmp"/><Relationship Id="rId12" Type="http://schemas.openxmlformats.org/officeDocument/2006/relationships/image" Target="../media/image12.tmp"/><Relationship Id="rId17" Type="http://schemas.openxmlformats.org/officeDocument/2006/relationships/image" Target="../media/image17.tmp"/><Relationship Id="rId25" Type="http://schemas.openxmlformats.org/officeDocument/2006/relationships/image" Target="../media/image25.tmp"/><Relationship Id="rId33" Type="http://schemas.openxmlformats.org/officeDocument/2006/relationships/image" Target="../media/image35.tmp"/><Relationship Id="rId38" Type="http://schemas.openxmlformats.org/officeDocument/2006/relationships/image" Target="../media/image40.tmp"/><Relationship Id="rId2" Type="http://schemas.openxmlformats.org/officeDocument/2006/relationships/image" Target="../media/image2.tmp"/><Relationship Id="rId16" Type="http://schemas.openxmlformats.org/officeDocument/2006/relationships/image" Target="../media/image16.tmp"/><Relationship Id="rId20" Type="http://schemas.openxmlformats.org/officeDocument/2006/relationships/image" Target="../media/image20.tmp"/><Relationship Id="rId29" Type="http://schemas.openxmlformats.org/officeDocument/2006/relationships/image" Target="../media/image29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tmp"/><Relationship Id="rId24" Type="http://schemas.openxmlformats.org/officeDocument/2006/relationships/image" Target="../media/image24.tmp"/><Relationship Id="rId32" Type="http://schemas.openxmlformats.org/officeDocument/2006/relationships/image" Target="../media/image34.tmp"/><Relationship Id="rId37" Type="http://schemas.openxmlformats.org/officeDocument/2006/relationships/image" Target="../media/image39.tmp"/><Relationship Id="rId5" Type="http://schemas.openxmlformats.org/officeDocument/2006/relationships/image" Target="../media/image5.tmp"/><Relationship Id="rId15" Type="http://schemas.openxmlformats.org/officeDocument/2006/relationships/image" Target="../media/image15.tmp"/><Relationship Id="rId23" Type="http://schemas.openxmlformats.org/officeDocument/2006/relationships/image" Target="../media/image23.tmp"/><Relationship Id="rId28" Type="http://schemas.openxmlformats.org/officeDocument/2006/relationships/image" Target="../media/image28.tmp"/><Relationship Id="rId36" Type="http://schemas.openxmlformats.org/officeDocument/2006/relationships/image" Target="../media/image38.tmp"/><Relationship Id="rId10" Type="http://schemas.openxmlformats.org/officeDocument/2006/relationships/image" Target="../media/image10.tmp"/><Relationship Id="rId19" Type="http://schemas.openxmlformats.org/officeDocument/2006/relationships/image" Target="../media/image19.tmp"/><Relationship Id="rId31" Type="http://schemas.openxmlformats.org/officeDocument/2006/relationships/image" Target="../media/image31.tmp"/><Relationship Id="rId4" Type="http://schemas.openxmlformats.org/officeDocument/2006/relationships/image" Target="../media/image4.tmp"/><Relationship Id="rId9" Type="http://schemas.openxmlformats.org/officeDocument/2006/relationships/image" Target="../media/image9.tmp"/><Relationship Id="rId14" Type="http://schemas.openxmlformats.org/officeDocument/2006/relationships/image" Target="../media/image14.tmp"/><Relationship Id="rId22" Type="http://schemas.openxmlformats.org/officeDocument/2006/relationships/image" Target="../media/image22.tmp"/><Relationship Id="rId27" Type="http://schemas.openxmlformats.org/officeDocument/2006/relationships/image" Target="../media/image27.tmp"/><Relationship Id="rId30" Type="http://schemas.openxmlformats.org/officeDocument/2006/relationships/image" Target="../media/image30.tmp"/><Relationship Id="rId35" Type="http://schemas.openxmlformats.org/officeDocument/2006/relationships/image" Target="../media/image37.tmp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tmp"/><Relationship Id="rId18" Type="http://schemas.openxmlformats.org/officeDocument/2006/relationships/image" Target="../media/image18.tmp"/><Relationship Id="rId26" Type="http://schemas.openxmlformats.org/officeDocument/2006/relationships/image" Target="../media/image26.tmp"/><Relationship Id="rId39" Type="http://schemas.openxmlformats.org/officeDocument/2006/relationships/image" Target="../media/image41.tmp"/><Relationship Id="rId3" Type="http://schemas.openxmlformats.org/officeDocument/2006/relationships/image" Target="../media/image3.tmp"/><Relationship Id="rId21" Type="http://schemas.openxmlformats.org/officeDocument/2006/relationships/image" Target="../media/image21.tmp"/><Relationship Id="rId34" Type="http://schemas.openxmlformats.org/officeDocument/2006/relationships/image" Target="../media/image36.tmp"/><Relationship Id="rId7" Type="http://schemas.openxmlformats.org/officeDocument/2006/relationships/image" Target="../media/image7.tmp"/><Relationship Id="rId12" Type="http://schemas.openxmlformats.org/officeDocument/2006/relationships/image" Target="../media/image12.tmp"/><Relationship Id="rId17" Type="http://schemas.openxmlformats.org/officeDocument/2006/relationships/image" Target="../media/image17.tmp"/><Relationship Id="rId25" Type="http://schemas.openxmlformats.org/officeDocument/2006/relationships/image" Target="../media/image25.tmp"/><Relationship Id="rId33" Type="http://schemas.openxmlformats.org/officeDocument/2006/relationships/image" Target="../media/image35.tmp"/><Relationship Id="rId38" Type="http://schemas.openxmlformats.org/officeDocument/2006/relationships/image" Target="../media/image40.tmp"/><Relationship Id="rId2" Type="http://schemas.openxmlformats.org/officeDocument/2006/relationships/image" Target="../media/image2.tmp"/><Relationship Id="rId16" Type="http://schemas.openxmlformats.org/officeDocument/2006/relationships/image" Target="../media/image16.tmp"/><Relationship Id="rId20" Type="http://schemas.openxmlformats.org/officeDocument/2006/relationships/image" Target="../media/image20.tmp"/><Relationship Id="rId29" Type="http://schemas.openxmlformats.org/officeDocument/2006/relationships/image" Target="../media/image29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tmp"/><Relationship Id="rId24" Type="http://schemas.openxmlformats.org/officeDocument/2006/relationships/image" Target="../media/image24.tmp"/><Relationship Id="rId32" Type="http://schemas.openxmlformats.org/officeDocument/2006/relationships/image" Target="../media/image34.tmp"/><Relationship Id="rId37" Type="http://schemas.openxmlformats.org/officeDocument/2006/relationships/image" Target="../media/image39.tmp"/><Relationship Id="rId5" Type="http://schemas.openxmlformats.org/officeDocument/2006/relationships/image" Target="../media/image5.tmp"/><Relationship Id="rId15" Type="http://schemas.openxmlformats.org/officeDocument/2006/relationships/image" Target="../media/image15.tmp"/><Relationship Id="rId23" Type="http://schemas.openxmlformats.org/officeDocument/2006/relationships/image" Target="../media/image23.tmp"/><Relationship Id="rId28" Type="http://schemas.openxmlformats.org/officeDocument/2006/relationships/image" Target="../media/image28.tmp"/><Relationship Id="rId36" Type="http://schemas.openxmlformats.org/officeDocument/2006/relationships/image" Target="../media/image38.tmp"/><Relationship Id="rId10" Type="http://schemas.openxmlformats.org/officeDocument/2006/relationships/image" Target="../media/image10.tmp"/><Relationship Id="rId19" Type="http://schemas.openxmlformats.org/officeDocument/2006/relationships/image" Target="../media/image19.tmp"/><Relationship Id="rId31" Type="http://schemas.openxmlformats.org/officeDocument/2006/relationships/image" Target="../media/image31.tmp"/><Relationship Id="rId4" Type="http://schemas.openxmlformats.org/officeDocument/2006/relationships/image" Target="../media/image4.tmp"/><Relationship Id="rId9" Type="http://schemas.openxmlformats.org/officeDocument/2006/relationships/image" Target="../media/image9.tmp"/><Relationship Id="rId14" Type="http://schemas.openxmlformats.org/officeDocument/2006/relationships/image" Target="../media/image14.tmp"/><Relationship Id="rId22" Type="http://schemas.openxmlformats.org/officeDocument/2006/relationships/image" Target="../media/image22.tmp"/><Relationship Id="rId27" Type="http://schemas.openxmlformats.org/officeDocument/2006/relationships/image" Target="../media/image27.tmp"/><Relationship Id="rId30" Type="http://schemas.openxmlformats.org/officeDocument/2006/relationships/image" Target="../media/image30.tmp"/><Relationship Id="rId35" Type="http://schemas.openxmlformats.org/officeDocument/2006/relationships/image" Target="../media/image37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541020</xdr:colOff>
      <xdr:row>0</xdr:row>
      <xdr:rowOff>0</xdr:rowOff>
    </xdr:from>
    <xdr:to>
      <xdr:col>9</xdr:col>
      <xdr:colOff>686060</xdr:colOff>
      <xdr:row>4</xdr:row>
      <xdr:rowOff>160097</xdr:rowOff>
    </xdr:to>
    <xdr:pic>
      <xdr:nvPicPr>
        <xdr:cNvPr id="3" name="Рисунок 2" descr="Вырезка экрана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9020" y="1097280"/>
          <a:ext cx="2994920" cy="891617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</xdr:colOff>
      <xdr:row>0</xdr:row>
      <xdr:rowOff>0</xdr:rowOff>
    </xdr:from>
    <xdr:to>
      <xdr:col>15</xdr:col>
      <xdr:colOff>602457</xdr:colOff>
      <xdr:row>11</xdr:row>
      <xdr:rowOff>12065</xdr:rowOff>
    </xdr:to>
    <xdr:pic>
      <xdr:nvPicPr>
        <xdr:cNvPr id="4" name="Рисунок 3" descr="Вырезка экрана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1320" y="0"/>
          <a:ext cx="3254217" cy="20237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53341</xdr:colOff>
      <xdr:row>60</xdr:row>
      <xdr:rowOff>30481</xdr:rowOff>
    </xdr:from>
    <xdr:to>
      <xdr:col>7</xdr:col>
      <xdr:colOff>53340</xdr:colOff>
      <xdr:row>73</xdr:row>
      <xdr:rowOff>77909</xdr:rowOff>
    </xdr:to>
    <xdr:pic>
      <xdr:nvPicPr>
        <xdr:cNvPr id="5" name="Рисунок 4" descr="Вырезка экрана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1" y="11033761"/>
          <a:ext cx="4267199" cy="2424868"/>
        </a:xfrm>
        <a:prstGeom prst="rect">
          <a:avLst/>
        </a:prstGeom>
      </xdr:spPr>
    </xdr:pic>
    <xdr:clientData/>
  </xdr:twoCellAnchor>
  <xdr:twoCellAnchor editAs="oneCell">
    <xdr:from>
      <xdr:col>10</xdr:col>
      <xdr:colOff>7621</xdr:colOff>
      <xdr:row>22</xdr:row>
      <xdr:rowOff>0</xdr:rowOff>
    </xdr:from>
    <xdr:to>
      <xdr:col>13</xdr:col>
      <xdr:colOff>205741</xdr:colOff>
      <xdr:row>25</xdr:row>
      <xdr:rowOff>165735</xdr:rowOff>
    </xdr:to>
    <xdr:pic>
      <xdr:nvPicPr>
        <xdr:cNvPr id="6" name="Рисунок 5" descr="Вырезка экрана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3621" y="3672840"/>
          <a:ext cx="2286000" cy="714375"/>
        </a:xfrm>
        <a:prstGeom prst="rect">
          <a:avLst/>
        </a:prstGeom>
      </xdr:spPr>
    </xdr:pic>
    <xdr:clientData/>
  </xdr:twoCellAnchor>
  <xdr:twoCellAnchor editAs="oneCell">
    <xdr:from>
      <xdr:col>7</xdr:col>
      <xdr:colOff>236220</xdr:colOff>
      <xdr:row>22</xdr:row>
      <xdr:rowOff>22860</xdr:rowOff>
    </xdr:from>
    <xdr:to>
      <xdr:col>9</xdr:col>
      <xdr:colOff>251603</xdr:colOff>
      <xdr:row>26</xdr:row>
      <xdr:rowOff>53406</xdr:rowOff>
    </xdr:to>
    <xdr:pic>
      <xdr:nvPicPr>
        <xdr:cNvPr id="7" name="Рисунок 6" descr="Вырезка экрана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3420" y="3695700"/>
          <a:ext cx="1646063" cy="762066"/>
        </a:xfrm>
        <a:prstGeom prst="rect">
          <a:avLst/>
        </a:prstGeom>
      </xdr:spPr>
    </xdr:pic>
    <xdr:clientData/>
  </xdr:twoCellAnchor>
  <xdr:twoCellAnchor editAs="oneCell">
    <xdr:from>
      <xdr:col>7</xdr:col>
      <xdr:colOff>121920</xdr:colOff>
      <xdr:row>12</xdr:row>
      <xdr:rowOff>144780</xdr:rowOff>
    </xdr:from>
    <xdr:to>
      <xdr:col>7</xdr:col>
      <xdr:colOff>571539</xdr:colOff>
      <xdr:row>16</xdr:row>
      <xdr:rowOff>91500</xdr:rowOff>
    </xdr:to>
    <xdr:pic>
      <xdr:nvPicPr>
        <xdr:cNvPr id="9" name="Рисунок 8" descr="Вырезка экрана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9120" y="1973580"/>
          <a:ext cx="449619" cy="693480"/>
        </a:xfrm>
        <a:prstGeom prst="rect">
          <a:avLst/>
        </a:prstGeom>
      </xdr:spPr>
    </xdr:pic>
    <xdr:clientData/>
  </xdr:twoCellAnchor>
  <xdr:twoCellAnchor editAs="oneCell">
    <xdr:from>
      <xdr:col>3</xdr:col>
      <xdr:colOff>167640</xdr:colOff>
      <xdr:row>22</xdr:row>
      <xdr:rowOff>15240</xdr:rowOff>
    </xdr:from>
    <xdr:to>
      <xdr:col>4</xdr:col>
      <xdr:colOff>7659</xdr:colOff>
      <xdr:row>25</xdr:row>
      <xdr:rowOff>137218</xdr:rowOff>
    </xdr:to>
    <xdr:pic>
      <xdr:nvPicPr>
        <xdr:cNvPr id="10" name="Рисунок 9" descr="Вырезка экрана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6440" y="3688080"/>
          <a:ext cx="449619" cy="670618"/>
        </a:xfrm>
        <a:prstGeom prst="rect">
          <a:avLst/>
        </a:prstGeom>
      </xdr:spPr>
    </xdr:pic>
    <xdr:clientData/>
  </xdr:twoCellAnchor>
  <xdr:oneCellAnchor>
    <xdr:from>
      <xdr:col>10</xdr:col>
      <xdr:colOff>7621</xdr:colOff>
      <xdr:row>48</xdr:row>
      <xdr:rowOff>0</xdr:rowOff>
    </xdr:from>
    <xdr:ext cx="2286000" cy="714375"/>
    <xdr:pic>
      <xdr:nvPicPr>
        <xdr:cNvPr id="15" name="Рисунок 14" descr="Вырезка экрана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3621" y="4038600"/>
          <a:ext cx="2286000" cy="714375"/>
        </a:xfrm>
        <a:prstGeom prst="rect">
          <a:avLst/>
        </a:prstGeom>
      </xdr:spPr>
    </xdr:pic>
    <xdr:clientData/>
  </xdr:oneCellAnchor>
  <xdr:oneCellAnchor>
    <xdr:from>
      <xdr:col>7</xdr:col>
      <xdr:colOff>236220</xdr:colOff>
      <xdr:row>48</xdr:row>
      <xdr:rowOff>22860</xdr:rowOff>
    </xdr:from>
    <xdr:ext cx="1646063" cy="762066"/>
    <xdr:pic>
      <xdr:nvPicPr>
        <xdr:cNvPr id="16" name="Рисунок 15" descr="Вырезка экрана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3420" y="4061460"/>
          <a:ext cx="1646063" cy="762066"/>
        </a:xfrm>
        <a:prstGeom prst="rect">
          <a:avLst/>
        </a:prstGeom>
      </xdr:spPr>
    </xdr:pic>
    <xdr:clientData/>
  </xdr:oneCellAnchor>
  <xdr:oneCellAnchor>
    <xdr:from>
      <xdr:col>7</xdr:col>
      <xdr:colOff>121920</xdr:colOff>
      <xdr:row>38</xdr:row>
      <xdr:rowOff>144780</xdr:rowOff>
    </xdr:from>
    <xdr:ext cx="449619" cy="693480"/>
    <xdr:pic>
      <xdr:nvPicPr>
        <xdr:cNvPr id="17" name="Рисунок 16" descr="Вырезка экрана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9120" y="2339340"/>
          <a:ext cx="449619" cy="693480"/>
        </a:xfrm>
        <a:prstGeom prst="rect">
          <a:avLst/>
        </a:prstGeom>
      </xdr:spPr>
    </xdr:pic>
    <xdr:clientData/>
  </xdr:oneCellAnchor>
  <xdr:oneCellAnchor>
    <xdr:from>
      <xdr:col>3</xdr:col>
      <xdr:colOff>167640</xdr:colOff>
      <xdr:row>48</xdr:row>
      <xdr:rowOff>15240</xdr:rowOff>
    </xdr:from>
    <xdr:ext cx="449619" cy="670618"/>
    <xdr:pic>
      <xdr:nvPicPr>
        <xdr:cNvPr id="18" name="Рисунок 17" descr="Вырезка экрана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6440" y="4053840"/>
          <a:ext cx="449619" cy="670618"/>
        </a:xfrm>
        <a:prstGeom prst="rect">
          <a:avLst/>
        </a:prstGeom>
      </xdr:spPr>
    </xdr:pic>
    <xdr:clientData/>
  </xdr:oneCellAnchor>
  <xdr:twoCellAnchor editAs="oneCell">
    <xdr:from>
      <xdr:col>0</xdr:col>
      <xdr:colOff>144781</xdr:colOff>
      <xdr:row>75</xdr:row>
      <xdr:rowOff>129541</xdr:rowOff>
    </xdr:from>
    <xdr:to>
      <xdr:col>4</xdr:col>
      <xdr:colOff>601981</xdr:colOff>
      <xdr:row>78</xdr:row>
      <xdr:rowOff>89945</xdr:rowOff>
    </xdr:to>
    <xdr:pic>
      <xdr:nvPicPr>
        <xdr:cNvPr id="22" name="Рисунок 21" descr="Вырезка экрана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1" y="13876021"/>
          <a:ext cx="2895600" cy="509044"/>
        </a:xfrm>
        <a:prstGeom prst="rect">
          <a:avLst/>
        </a:prstGeom>
      </xdr:spPr>
    </xdr:pic>
    <xdr:clientData/>
  </xdr:twoCellAnchor>
  <xdr:twoCellAnchor editAs="oneCell">
    <xdr:from>
      <xdr:col>0</xdr:col>
      <xdr:colOff>243840</xdr:colOff>
      <xdr:row>79</xdr:row>
      <xdr:rowOff>38100</xdr:rowOff>
    </xdr:from>
    <xdr:to>
      <xdr:col>4</xdr:col>
      <xdr:colOff>563387</xdr:colOff>
      <xdr:row>84</xdr:row>
      <xdr:rowOff>38100</xdr:rowOff>
    </xdr:to>
    <xdr:pic>
      <xdr:nvPicPr>
        <xdr:cNvPr id="23" name="Рисунок 22" descr="Вырезка экрана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" y="14516100"/>
          <a:ext cx="2757947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6</xdr:col>
      <xdr:colOff>396591</xdr:colOff>
      <xdr:row>93</xdr:row>
      <xdr:rowOff>38183</xdr:rowOff>
    </xdr:to>
    <xdr:pic>
      <xdr:nvPicPr>
        <xdr:cNvPr id="28" name="Рисунок 27" descr="Вырезка экрана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123920"/>
          <a:ext cx="4054191" cy="952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4</xdr:col>
      <xdr:colOff>480313</xdr:colOff>
      <xdr:row>98</xdr:row>
      <xdr:rowOff>114373</xdr:rowOff>
    </xdr:to>
    <xdr:pic>
      <xdr:nvPicPr>
        <xdr:cNvPr id="29" name="Рисунок 28" descr="Вырезка экрана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221200"/>
          <a:ext cx="2918713" cy="845893"/>
        </a:xfrm>
        <a:prstGeom prst="rect">
          <a:avLst/>
        </a:prstGeom>
      </xdr:spPr>
    </xdr:pic>
    <xdr:clientData/>
  </xdr:twoCellAnchor>
  <xdr:twoCellAnchor editAs="oneCell">
    <xdr:from>
      <xdr:col>0</xdr:col>
      <xdr:colOff>182880</xdr:colOff>
      <xdr:row>97</xdr:row>
      <xdr:rowOff>160020</xdr:rowOff>
    </xdr:from>
    <xdr:to>
      <xdr:col>3</xdr:col>
      <xdr:colOff>160177</xdr:colOff>
      <xdr:row>104</xdr:row>
      <xdr:rowOff>68683</xdr:rowOff>
    </xdr:to>
    <xdr:pic>
      <xdr:nvPicPr>
        <xdr:cNvPr id="30" name="Рисунок 29" descr="Вырезка экрана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" y="17929860"/>
          <a:ext cx="1806097" cy="11888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121920</xdr:rowOff>
    </xdr:from>
    <xdr:to>
      <xdr:col>5</xdr:col>
      <xdr:colOff>183160</xdr:colOff>
      <xdr:row>109</xdr:row>
      <xdr:rowOff>152482</xdr:rowOff>
    </xdr:to>
    <xdr:pic>
      <xdr:nvPicPr>
        <xdr:cNvPr id="31" name="Рисунок 30" descr="Вырезка экрана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171920"/>
          <a:ext cx="3231160" cy="944962"/>
        </a:xfrm>
        <a:prstGeom prst="rect">
          <a:avLst/>
        </a:prstGeom>
      </xdr:spPr>
    </xdr:pic>
    <xdr:clientData/>
  </xdr:twoCellAnchor>
  <xdr:twoCellAnchor editAs="oneCell">
    <xdr:from>
      <xdr:col>0</xdr:col>
      <xdr:colOff>312420</xdr:colOff>
      <xdr:row>111</xdr:row>
      <xdr:rowOff>76200</xdr:rowOff>
    </xdr:from>
    <xdr:to>
      <xdr:col>4</xdr:col>
      <xdr:colOff>411700</xdr:colOff>
      <xdr:row>112</xdr:row>
      <xdr:rowOff>114319</xdr:rowOff>
    </xdr:to>
    <xdr:pic>
      <xdr:nvPicPr>
        <xdr:cNvPr id="33" name="Рисунок 32" descr="Вырезка экрана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" y="20406360"/>
          <a:ext cx="2537680" cy="2209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9</xdr:col>
      <xdr:colOff>206216</xdr:colOff>
      <xdr:row>130</xdr:row>
      <xdr:rowOff>68855</xdr:rowOff>
    </xdr:to>
    <xdr:pic>
      <xdr:nvPicPr>
        <xdr:cNvPr id="34" name="Рисунок 33" descr="Вырезка экрана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0695920"/>
          <a:ext cx="5494496" cy="3177815"/>
        </a:xfrm>
        <a:prstGeom prst="rect">
          <a:avLst/>
        </a:prstGeom>
      </xdr:spPr>
    </xdr:pic>
    <xdr:clientData/>
  </xdr:twoCellAnchor>
  <xdr:twoCellAnchor editAs="oneCell">
    <xdr:from>
      <xdr:col>0</xdr:col>
      <xdr:colOff>586740</xdr:colOff>
      <xdr:row>131</xdr:row>
      <xdr:rowOff>15240</xdr:rowOff>
    </xdr:from>
    <xdr:to>
      <xdr:col>8</xdr:col>
      <xdr:colOff>648150</xdr:colOff>
      <xdr:row>149</xdr:row>
      <xdr:rowOff>91732</xdr:rowOff>
    </xdr:to>
    <xdr:pic>
      <xdr:nvPicPr>
        <xdr:cNvPr id="35" name="Рисунок 34" descr="Вырезка экрана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" y="24003000"/>
          <a:ext cx="5197290" cy="33683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7</xdr:col>
      <xdr:colOff>670935</xdr:colOff>
      <xdr:row>159</xdr:row>
      <xdr:rowOff>45867</xdr:rowOff>
    </xdr:to>
    <xdr:pic>
      <xdr:nvPicPr>
        <xdr:cNvPr id="36" name="Рисунок 35" descr="Вырезка экрана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7462480"/>
          <a:ext cx="4328535" cy="16917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6</xdr:col>
      <xdr:colOff>23126</xdr:colOff>
      <xdr:row>162</xdr:row>
      <xdr:rowOff>83859</xdr:rowOff>
    </xdr:to>
    <xdr:pic>
      <xdr:nvPicPr>
        <xdr:cNvPr id="37" name="Рисунок 36" descr="Вырезка экрана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9291280"/>
          <a:ext cx="3071126" cy="44961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62</xdr:row>
      <xdr:rowOff>1</xdr:rowOff>
    </xdr:from>
    <xdr:to>
      <xdr:col>16</xdr:col>
      <xdr:colOff>137559</xdr:colOff>
      <xdr:row>74</xdr:row>
      <xdr:rowOff>137161</xdr:rowOff>
    </xdr:to>
    <xdr:pic>
      <xdr:nvPicPr>
        <xdr:cNvPr id="38" name="Рисунок 37" descr="Вырезка экрана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9520" y="11369041"/>
          <a:ext cx="2575959" cy="23317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68</xdr:row>
      <xdr:rowOff>1</xdr:rowOff>
    </xdr:from>
    <xdr:to>
      <xdr:col>26</xdr:col>
      <xdr:colOff>281940</xdr:colOff>
      <xdr:row>69</xdr:row>
      <xdr:rowOff>147813</xdr:rowOff>
    </xdr:to>
    <xdr:pic>
      <xdr:nvPicPr>
        <xdr:cNvPr id="39" name="Рисунок 38" descr="Вырезка экрана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85520" y="12466321"/>
          <a:ext cx="2720340" cy="330692"/>
        </a:xfrm>
        <a:prstGeom prst="rect">
          <a:avLst/>
        </a:prstGeom>
      </xdr:spPr>
    </xdr:pic>
    <xdr:clientData/>
  </xdr:twoCellAnchor>
  <xdr:twoCellAnchor editAs="oneCell">
    <xdr:from>
      <xdr:col>37</xdr:col>
      <xdr:colOff>7620</xdr:colOff>
      <xdr:row>60</xdr:row>
      <xdr:rowOff>15240</xdr:rowOff>
    </xdr:from>
    <xdr:to>
      <xdr:col>41</xdr:col>
      <xdr:colOff>211</xdr:colOff>
      <xdr:row>62</xdr:row>
      <xdr:rowOff>30</xdr:rowOff>
    </xdr:to>
    <xdr:pic>
      <xdr:nvPicPr>
        <xdr:cNvPr id="40" name="Рисунок 39" descr="Вырезка экрана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37140" y="11018520"/>
          <a:ext cx="2430991" cy="350550"/>
        </a:xfrm>
        <a:prstGeom prst="rect">
          <a:avLst/>
        </a:prstGeom>
      </xdr:spPr>
    </xdr:pic>
    <xdr:clientData/>
  </xdr:twoCellAnchor>
  <xdr:twoCellAnchor editAs="oneCell">
    <xdr:from>
      <xdr:col>14</xdr:col>
      <xdr:colOff>129541</xdr:colOff>
      <xdr:row>87</xdr:row>
      <xdr:rowOff>7621</xdr:rowOff>
    </xdr:from>
    <xdr:to>
      <xdr:col>19</xdr:col>
      <xdr:colOff>205741</xdr:colOff>
      <xdr:row>92</xdr:row>
      <xdr:rowOff>78329</xdr:rowOff>
    </xdr:to>
    <xdr:pic>
      <xdr:nvPicPr>
        <xdr:cNvPr id="41" name="Рисунок 40" descr="Вырезка экрана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8261" y="15948661"/>
          <a:ext cx="3124200" cy="9851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9</xdr:col>
      <xdr:colOff>251940</xdr:colOff>
      <xdr:row>180</xdr:row>
      <xdr:rowOff>175513</xdr:rowOff>
    </xdr:to>
    <xdr:pic>
      <xdr:nvPicPr>
        <xdr:cNvPr id="42" name="Рисунок 41" descr="Вырезка экрана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0205680"/>
          <a:ext cx="5540220" cy="29187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7</xdr:col>
      <xdr:colOff>320385</xdr:colOff>
      <xdr:row>185</xdr:row>
      <xdr:rowOff>137219</xdr:rowOff>
    </xdr:to>
    <xdr:pic>
      <xdr:nvPicPr>
        <xdr:cNvPr id="43" name="Рисунок 42" descr="Вырезка экрана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3314640"/>
          <a:ext cx="3977985" cy="6858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7</xdr:col>
      <xdr:colOff>358488</xdr:colOff>
      <xdr:row>202</xdr:row>
      <xdr:rowOff>76318</xdr:rowOff>
    </xdr:to>
    <xdr:pic>
      <xdr:nvPicPr>
        <xdr:cNvPr id="44" name="Рисунок 43" descr="Вырезка экрана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5692080"/>
          <a:ext cx="4016088" cy="135647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205</xdr:row>
      <xdr:rowOff>0</xdr:rowOff>
    </xdr:from>
    <xdr:to>
      <xdr:col>7</xdr:col>
      <xdr:colOff>281941</xdr:colOff>
      <xdr:row>209</xdr:row>
      <xdr:rowOff>7620</xdr:rowOff>
    </xdr:to>
    <xdr:pic>
      <xdr:nvPicPr>
        <xdr:cNvPr id="45" name="Рисунок 44" descr="Вырезка экрана"/>
        <xdr:cNvPicPr>
          <a:picLocks noChangeAspect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94" b="43610"/>
        <a:stretch/>
      </xdr:blipFill>
      <xdr:spPr>
        <a:xfrm>
          <a:off x="609601" y="37520880"/>
          <a:ext cx="3939540" cy="7391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6</xdr:col>
      <xdr:colOff>579434</xdr:colOff>
      <xdr:row>221</xdr:row>
      <xdr:rowOff>106768</xdr:rowOff>
    </xdr:to>
    <xdr:pic>
      <xdr:nvPicPr>
        <xdr:cNvPr id="47" name="Рисунок 46" descr="Вырезка экрана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9532560"/>
          <a:ext cx="3627434" cy="10211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5</xdr:col>
      <xdr:colOff>91659</xdr:colOff>
      <xdr:row>226</xdr:row>
      <xdr:rowOff>175323</xdr:rowOff>
    </xdr:to>
    <xdr:pic>
      <xdr:nvPicPr>
        <xdr:cNvPr id="48" name="Рисунок 47" descr="Вырезка экрана"/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0812720"/>
          <a:ext cx="2530059" cy="7239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3</xdr:col>
      <xdr:colOff>266829</xdr:colOff>
      <xdr:row>228</xdr:row>
      <xdr:rowOff>45740</xdr:rowOff>
    </xdr:to>
    <xdr:pic>
      <xdr:nvPicPr>
        <xdr:cNvPr id="49" name="Рисунок 48" descr="Вырезка экрана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1544240"/>
          <a:ext cx="1486029" cy="22862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230</xdr:row>
      <xdr:rowOff>0</xdr:rowOff>
    </xdr:from>
    <xdr:to>
      <xdr:col>8</xdr:col>
      <xdr:colOff>693421</xdr:colOff>
      <xdr:row>233</xdr:row>
      <xdr:rowOff>91495</xdr:rowOff>
    </xdr:to>
    <xdr:pic>
      <xdr:nvPicPr>
        <xdr:cNvPr id="51" name="Рисунок 50" descr="Вырезка экрана"/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42092880"/>
          <a:ext cx="5143500" cy="6401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7</xdr:col>
      <xdr:colOff>579487</xdr:colOff>
      <xdr:row>245</xdr:row>
      <xdr:rowOff>106864</xdr:rowOff>
    </xdr:to>
    <xdr:pic>
      <xdr:nvPicPr>
        <xdr:cNvPr id="52" name="Рисунок 51" descr="Вырезка экрана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2824400"/>
          <a:ext cx="4237087" cy="2118544"/>
        </a:xfrm>
        <a:prstGeom prst="rect">
          <a:avLst/>
        </a:prstGeom>
      </xdr:spPr>
    </xdr:pic>
    <xdr:clientData/>
  </xdr:twoCellAnchor>
  <xdr:twoCellAnchor editAs="oneCell">
    <xdr:from>
      <xdr:col>14</xdr:col>
      <xdr:colOff>426720</xdr:colOff>
      <xdr:row>218</xdr:row>
      <xdr:rowOff>38100</xdr:rowOff>
    </xdr:from>
    <xdr:to>
      <xdr:col>23</xdr:col>
      <xdr:colOff>320506</xdr:colOff>
      <xdr:row>236</xdr:row>
      <xdr:rowOff>7903</xdr:rowOff>
    </xdr:to>
    <xdr:pic>
      <xdr:nvPicPr>
        <xdr:cNvPr id="53" name="Рисунок 52" descr="Вырезка экрана"/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0760" y="39936420"/>
          <a:ext cx="5380186" cy="326164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128</xdr:row>
      <xdr:rowOff>0</xdr:rowOff>
    </xdr:from>
    <xdr:to>
      <xdr:col>14</xdr:col>
      <xdr:colOff>198371</xdr:colOff>
      <xdr:row>139</xdr:row>
      <xdr:rowOff>15416</xdr:rowOff>
    </xdr:to>
    <xdr:pic>
      <xdr:nvPicPr>
        <xdr:cNvPr id="58" name="Рисунок 57" descr="Вырезка экрана"/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6560" y="23439120"/>
          <a:ext cx="2895851" cy="20270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9</xdr:col>
      <xdr:colOff>335767</xdr:colOff>
      <xdr:row>263</xdr:row>
      <xdr:rowOff>122152</xdr:rowOff>
    </xdr:to>
    <xdr:pic>
      <xdr:nvPicPr>
        <xdr:cNvPr id="2" name="Рисунок 1" descr="Вырезка экрана"/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9408080"/>
          <a:ext cx="5624047" cy="26824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3</xdr:col>
      <xdr:colOff>457345</xdr:colOff>
      <xdr:row>272</xdr:row>
      <xdr:rowOff>175402</xdr:rowOff>
    </xdr:to>
    <xdr:pic>
      <xdr:nvPicPr>
        <xdr:cNvPr id="8" name="Рисунок 7" descr="Вырезка экрана"/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2151280"/>
          <a:ext cx="1676545" cy="16384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5</xdr:col>
      <xdr:colOff>106901</xdr:colOff>
      <xdr:row>274</xdr:row>
      <xdr:rowOff>91464</xdr:rowOff>
    </xdr:to>
    <xdr:pic>
      <xdr:nvPicPr>
        <xdr:cNvPr id="11" name="Рисунок 10" descr="Вырезка экрана"/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3797200"/>
          <a:ext cx="2545301" cy="2743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5</xdr:col>
      <xdr:colOff>251693</xdr:colOff>
      <xdr:row>276</xdr:row>
      <xdr:rowOff>106705</xdr:rowOff>
    </xdr:to>
    <xdr:pic>
      <xdr:nvPicPr>
        <xdr:cNvPr id="12" name="Рисунок 11" descr="Вырезка экрана"/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4162960"/>
          <a:ext cx="2690093" cy="28958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277</xdr:row>
      <xdr:rowOff>1</xdr:rowOff>
    </xdr:from>
    <xdr:to>
      <xdr:col>6</xdr:col>
      <xdr:colOff>548641</xdr:colOff>
      <xdr:row>282</xdr:row>
      <xdr:rowOff>43742</xdr:rowOff>
    </xdr:to>
    <xdr:pic>
      <xdr:nvPicPr>
        <xdr:cNvPr id="13" name="Рисунок 12" descr="Вырезка экрана"/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54528721"/>
          <a:ext cx="3596640" cy="95814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283</xdr:row>
      <xdr:rowOff>1</xdr:rowOff>
    </xdr:from>
    <xdr:to>
      <xdr:col>5</xdr:col>
      <xdr:colOff>434341</xdr:colOff>
      <xdr:row>287</xdr:row>
      <xdr:rowOff>109519</xdr:rowOff>
    </xdr:to>
    <xdr:pic>
      <xdr:nvPicPr>
        <xdr:cNvPr id="14" name="Рисунок 13" descr="Вырезка экрана"/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55626001"/>
          <a:ext cx="2872740" cy="917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3</xdr:col>
      <xdr:colOff>350656</xdr:colOff>
      <xdr:row>294</xdr:row>
      <xdr:rowOff>53376</xdr:rowOff>
    </xdr:to>
    <xdr:pic>
      <xdr:nvPicPr>
        <xdr:cNvPr id="19" name="Рисунок 18" descr="Вырезка экрана"/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7424320"/>
          <a:ext cx="1569856" cy="4191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541020</xdr:colOff>
      <xdr:row>0</xdr:row>
      <xdr:rowOff>0</xdr:rowOff>
    </xdr:from>
    <xdr:to>
      <xdr:col>9</xdr:col>
      <xdr:colOff>686060</xdr:colOff>
      <xdr:row>4</xdr:row>
      <xdr:rowOff>160097</xdr:rowOff>
    </xdr:to>
    <xdr:pic>
      <xdr:nvPicPr>
        <xdr:cNvPr id="2" name="Рисунок 1" descr="Вырезка экрана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9020" y="0"/>
          <a:ext cx="2994920" cy="891617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</xdr:colOff>
      <xdr:row>0</xdr:row>
      <xdr:rowOff>0</xdr:rowOff>
    </xdr:from>
    <xdr:to>
      <xdr:col>15</xdr:col>
      <xdr:colOff>602457</xdr:colOff>
      <xdr:row>11</xdr:row>
      <xdr:rowOff>12065</xdr:rowOff>
    </xdr:to>
    <xdr:pic>
      <xdr:nvPicPr>
        <xdr:cNvPr id="3" name="Рисунок 2" descr="Вырезка экрана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1880" y="0"/>
          <a:ext cx="3254217" cy="20237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53341</xdr:colOff>
      <xdr:row>60</xdr:row>
      <xdr:rowOff>30481</xdr:rowOff>
    </xdr:from>
    <xdr:to>
      <xdr:col>7</xdr:col>
      <xdr:colOff>53340</xdr:colOff>
      <xdr:row>73</xdr:row>
      <xdr:rowOff>77909</xdr:rowOff>
    </xdr:to>
    <xdr:pic>
      <xdr:nvPicPr>
        <xdr:cNvPr id="4" name="Рисунок 3" descr="Вырезка экрана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1" y="11033761"/>
          <a:ext cx="4267199" cy="2424868"/>
        </a:xfrm>
        <a:prstGeom prst="rect">
          <a:avLst/>
        </a:prstGeom>
      </xdr:spPr>
    </xdr:pic>
    <xdr:clientData/>
  </xdr:twoCellAnchor>
  <xdr:twoCellAnchor editAs="oneCell">
    <xdr:from>
      <xdr:col>10</xdr:col>
      <xdr:colOff>7621</xdr:colOff>
      <xdr:row>22</xdr:row>
      <xdr:rowOff>0</xdr:rowOff>
    </xdr:from>
    <xdr:to>
      <xdr:col>13</xdr:col>
      <xdr:colOff>205741</xdr:colOff>
      <xdr:row>25</xdr:row>
      <xdr:rowOff>165735</xdr:rowOff>
    </xdr:to>
    <xdr:pic>
      <xdr:nvPicPr>
        <xdr:cNvPr id="5" name="Рисунок 4" descr="Вырезка экрана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4181" y="4038600"/>
          <a:ext cx="2286000" cy="714375"/>
        </a:xfrm>
        <a:prstGeom prst="rect">
          <a:avLst/>
        </a:prstGeom>
      </xdr:spPr>
    </xdr:pic>
    <xdr:clientData/>
  </xdr:twoCellAnchor>
  <xdr:twoCellAnchor editAs="oneCell">
    <xdr:from>
      <xdr:col>7</xdr:col>
      <xdr:colOff>236220</xdr:colOff>
      <xdr:row>22</xdr:row>
      <xdr:rowOff>22860</xdr:rowOff>
    </xdr:from>
    <xdr:to>
      <xdr:col>9</xdr:col>
      <xdr:colOff>251603</xdr:colOff>
      <xdr:row>26</xdr:row>
      <xdr:rowOff>53406</xdr:rowOff>
    </xdr:to>
    <xdr:pic>
      <xdr:nvPicPr>
        <xdr:cNvPr id="6" name="Рисунок 5" descr="Вырезка экрана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3420" y="4061460"/>
          <a:ext cx="1646063" cy="762066"/>
        </a:xfrm>
        <a:prstGeom prst="rect">
          <a:avLst/>
        </a:prstGeom>
      </xdr:spPr>
    </xdr:pic>
    <xdr:clientData/>
  </xdr:twoCellAnchor>
  <xdr:twoCellAnchor editAs="oneCell">
    <xdr:from>
      <xdr:col>7</xdr:col>
      <xdr:colOff>121920</xdr:colOff>
      <xdr:row>12</xdr:row>
      <xdr:rowOff>144780</xdr:rowOff>
    </xdr:from>
    <xdr:to>
      <xdr:col>7</xdr:col>
      <xdr:colOff>571539</xdr:colOff>
      <xdr:row>16</xdr:row>
      <xdr:rowOff>99120</xdr:rowOff>
    </xdr:to>
    <xdr:pic>
      <xdr:nvPicPr>
        <xdr:cNvPr id="7" name="Рисунок 6" descr="Вырезка экрана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9120" y="2339340"/>
          <a:ext cx="449619" cy="693480"/>
        </a:xfrm>
        <a:prstGeom prst="rect">
          <a:avLst/>
        </a:prstGeom>
      </xdr:spPr>
    </xdr:pic>
    <xdr:clientData/>
  </xdr:twoCellAnchor>
  <xdr:twoCellAnchor editAs="oneCell">
    <xdr:from>
      <xdr:col>3</xdr:col>
      <xdr:colOff>167640</xdr:colOff>
      <xdr:row>22</xdr:row>
      <xdr:rowOff>15240</xdr:rowOff>
    </xdr:from>
    <xdr:to>
      <xdr:col>4</xdr:col>
      <xdr:colOff>7659</xdr:colOff>
      <xdr:row>25</xdr:row>
      <xdr:rowOff>137218</xdr:rowOff>
    </xdr:to>
    <xdr:pic>
      <xdr:nvPicPr>
        <xdr:cNvPr id="8" name="Рисунок 7" descr="Вырезка экрана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6440" y="4053840"/>
          <a:ext cx="449619" cy="670618"/>
        </a:xfrm>
        <a:prstGeom prst="rect">
          <a:avLst/>
        </a:prstGeom>
      </xdr:spPr>
    </xdr:pic>
    <xdr:clientData/>
  </xdr:twoCellAnchor>
  <xdr:oneCellAnchor>
    <xdr:from>
      <xdr:col>10</xdr:col>
      <xdr:colOff>7621</xdr:colOff>
      <xdr:row>48</xdr:row>
      <xdr:rowOff>0</xdr:rowOff>
    </xdr:from>
    <xdr:ext cx="2286000" cy="714375"/>
    <xdr:pic>
      <xdr:nvPicPr>
        <xdr:cNvPr id="9" name="Рисунок 8" descr="Вырезка экрана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4181" y="8808720"/>
          <a:ext cx="2286000" cy="714375"/>
        </a:xfrm>
        <a:prstGeom prst="rect">
          <a:avLst/>
        </a:prstGeom>
      </xdr:spPr>
    </xdr:pic>
    <xdr:clientData/>
  </xdr:oneCellAnchor>
  <xdr:oneCellAnchor>
    <xdr:from>
      <xdr:col>7</xdr:col>
      <xdr:colOff>236220</xdr:colOff>
      <xdr:row>48</xdr:row>
      <xdr:rowOff>22860</xdr:rowOff>
    </xdr:from>
    <xdr:ext cx="1646063" cy="762066"/>
    <xdr:pic>
      <xdr:nvPicPr>
        <xdr:cNvPr id="10" name="Рисунок 9" descr="Вырезка экрана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3420" y="8831580"/>
          <a:ext cx="1646063" cy="762066"/>
        </a:xfrm>
        <a:prstGeom prst="rect">
          <a:avLst/>
        </a:prstGeom>
      </xdr:spPr>
    </xdr:pic>
    <xdr:clientData/>
  </xdr:oneCellAnchor>
  <xdr:oneCellAnchor>
    <xdr:from>
      <xdr:col>7</xdr:col>
      <xdr:colOff>121920</xdr:colOff>
      <xdr:row>38</xdr:row>
      <xdr:rowOff>144780</xdr:rowOff>
    </xdr:from>
    <xdr:ext cx="449619" cy="693480"/>
    <xdr:pic>
      <xdr:nvPicPr>
        <xdr:cNvPr id="11" name="Рисунок 10" descr="Вырезка экрана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9120" y="7109460"/>
          <a:ext cx="449619" cy="693480"/>
        </a:xfrm>
        <a:prstGeom prst="rect">
          <a:avLst/>
        </a:prstGeom>
      </xdr:spPr>
    </xdr:pic>
    <xdr:clientData/>
  </xdr:oneCellAnchor>
  <xdr:oneCellAnchor>
    <xdr:from>
      <xdr:col>3</xdr:col>
      <xdr:colOff>167640</xdr:colOff>
      <xdr:row>48</xdr:row>
      <xdr:rowOff>15240</xdr:rowOff>
    </xdr:from>
    <xdr:ext cx="449619" cy="670618"/>
    <xdr:pic>
      <xdr:nvPicPr>
        <xdr:cNvPr id="12" name="Рисунок 11" descr="Вырезка экрана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6440" y="8823960"/>
          <a:ext cx="449619" cy="670618"/>
        </a:xfrm>
        <a:prstGeom prst="rect">
          <a:avLst/>
        </a:prstGeom>
      </xdr:spPr>
    </xdr:pic>
    <xdr:clientData/>
  </xdr:oneCellAnchor>
  <xdr:twoCellAnchor editAs="oneCell">
    <xdr:from>
      <xdr:col>0</xdr:col>
      <xdr:colOff>144781</xdr:colOff>
      <xdr:row>75</xdr:row>
      <xdr:rowOff>129541</xdr:rowOff>
    </xdr:from>
    <xdr:to>
      <xdr:col>4</xdr:col>
      <xdr:colOff>601981</xdr:colOff>
      <xdr:row>78</xdr:row>
      <xdr:rowOff>89945</xdr:rowOff>
    </xdr:to>
    <xdr:pic>
      <xdr:nvPicPr>
        <xdr:cNvPr id="13" name="Рисунок 12" descr="Вырезка экрана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1" y="13876021"/>
          <a:ext cx="2895600" cy="509044"/>
        </a:xfrm>
        <a:prstGeom prst="rect">
          <a:avLst/>
        </a:prstGeom>
      </xdr:spPr>
    </xdr:pic>
    <xdr:clientData/>
  </xdr:twoCellAnchor>
  <xdr:twoCellAnchor editAs="oneCell">
    <xdr:from>
      <xdr:col>0</xdr:col>
      <xdr:colOff>243840</xdr:colOff>
      <xdr:row>79</xdr:row>
      <xdr:rowOff>38100</xdr:rowOff>
    </xdr:from>
    <xdr:to>
      <xdr:col>4</xdr:col>
      <xdr:colOff>563387</xdr:colOff>
      <xdr:row>84</xdr:row>
      <xdr:rowOff>38100</xdr:rowOff>
    </xdr:to>
    <xdr:pic>
      <xdr:nvPicPr>
        <xdr:cNvPr id="14" name="Рисунок 13" descr="Вырезка экрана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" y="14516100"/>
          <a:ext cx="2757947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6</xdr:col>
      <xdr:colOff>396591</xdr:colOff>
      <xdr:row>93</xdr:row>
      <xdr:rowOff>38183</xdr:rowOff>
    </xdr:to>
    <xdr:pic>
      <xdr:nvPicPr>
        <xdr:cNvPr id="15" name="Рисунок 14" descr="Вырезка экрана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123920"/>
          <a:ext cx="4054191" cy="952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4</xdr:col>
      <xdr:colOff>480313</xdr:colOff>
      <xdr:row>98</xdr:row>
      <xdr:rowOff>114373</xdr:rowOff>
    </xdr:to>
    <xdr:pic>
      <xdr:nvPicPr>
        <xdr:cNvPr id="16" name="Рисунок 15" descr="Вырезка экрана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221200"/>
          <a:ext cx="2918713" cy="845893"/>
        </a:xfrm>
        <a:prstGeom prst="rect">
          <a:avLst/>
        </a:prstGeom>
      </xdr:spPr>
    </xdr:pic>
    <xdr:clientData/>
  </xdr:twoCellAnchor>
  <xdr:twoCellAnchor editAs="oneCell">
    <xdr:from>
      <xdr:col>0</xdr:col>
      <xdr:colOff>182880</xdr:colOff>
      <xdr:row>97</xdr:row>
      <xdr:rowOff>160020</xdr:rowOff>
    </xdr:from>
    <xdr:to>
      <xdr:col>3</xdr:col>
      <xdr:colOff>160177</xdr:colOff>
      <xdr:row>104</xdr:row>
      <xdr:rowOff>68683</xdr:rowOff>
    </xdr:to>
    <xdr:pic>
      <xdr:nvPicPr>
        <xdr:cNvPr id="17" name="Рисунок 16" descr="Вырезка экрана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" y="17929860"/>
          <a:ext cx="1806097" cy="11888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121920</xdr:rowOff>
    </xdr:from>
    <xdr:to>
      <xdr:col>5</xdr:col>
      <xdr:colOff>183160</xdr:colOff>
      <xdr:row>109</xdr:row>
      <xdr:rowOff>152482</xdr:rowOff>
    </xdr:to>
    <xdr:pic>
      <xdr:nvPicPr>
        <xdr:cNvPr id="18" name="Рисунок 17" descr="Вырезка экрана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171920"/>
          <a:ext cx="3231160" cy="944962"/>
        </a:xfrm>
        <a:prstGeom prst="rect">
          <a:avLst/>
        </a:prstGeom>
      </xdr:spPr>
    </xdr:pic>
    <xdr:clientData/>
  </xdr:twoCellAnchor>
  <xdr:twoCellAnchor editAs="oneCell">
    <xdr:from>
      <xdr:col>0</xdr:col>
      <xdr:colOff>312420</xdr:colOff>
      <xdr:row>111</xdr:row>
      <xdr:rowOff>76200</xdr:rowOff>
    </xdr:from>
    <xdr:to>
      <xdr:col>4</xdr:col>
      <xdr:colOff>411700</xdr:colOff>
      <xdr:row>112</xdr:row>
      <xdr:rowOff>114319</xdr:rowOff>
    </xdr:to>
    <xdr:pic>
      <xdr:nvPicPr>
        <xdr:cNvPr id="19" name="Рисунок 18" descr="Вырезка экрана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" y="20406360"/>
          <a:ext cx="2537680" cy="2209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9</xdr:col>
      <xdr:colOff>206216</xdr:colOff>
      <xdr:row>130</xdr:row>
      <xdr:rowOff>68855</xdr:rowOff>
    </xdr:to>
    <xdr:pic>
      <xdr:nvPicPr>
        <xdr:cNvPr id="20" name="Рисунок 19" descr="Вырезка экрана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0695920"/>
          <a:ext cx="5494496" cy="31778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8</xdr:col>
      <xdr:colOff>671010</xdr:colOff>
      <xdr:row>149</xdr:row>
      <xdr:rowOff>76492</xdr:rowOff>
    </xdr:to>
    <xdr:pic>
      <xdr:nvPicPr>
        <xdr:cNvPr id="21" name="Рисунок 20" descr="Вырезка экрана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3987760"/>
          <a:ext cx="5197290" cy="33683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7</xdr:col>
      <xdr:colOff>670935</xdr:colOff>
      <xdr:row>159</xdr:row>
      <xdr:rowOff>45867</xdr:rowOff>
    </xdr:to>
    <xdr:pic>
      <xdr:nvPicPr>
        <xdr:cNvPr id="22" name="Рисунок 21" descr="Вырезка экрана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7462480"/>
          <a:ext cx="4328535" cy="16917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6</xdr:col>
      <xdr:colOff>23126</xdr:colOff>
      <xdr:row>162</xdr:row>
      <xdr:rowOff>83859</xdr:rowOff>
    </xdr:to>
    <xdr:pic>
      <xdr:nvPicPr>
        <xdr:cNvPr id="23" name="Рисунок 22" descr="Вырезка экрана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9291280"/>
          <a:ext cx="3071126" cy="44961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62</xdr:row>
      <xdr:rowOff>1</xdr:rowOff>
    </xdr:from>
    <xdr:to>
      <xdr:col>16</xdr:col>
      <xdr:colOff>137559</xdr:colOff>
      <xdr:row>74</xdr:row>
      <xdr:rowOff>137161</xdr:rowOff>
    </xdr:to>
    <xdr:pic>
      <xdr:nvPicPr>
        <xdr:cNvPr id="24" name="Рисунок 23" descr="Вырезка экрана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4840" y="11369041"/>
          <a:ext cx="2575959" cy="23317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68</xdr:row>
      <xdr:rowOff>1</xdr:rowOff>
    </xdr:from>
    <xdr:to>
      <xdr:col>26</xdr:col>
      <xdr:colOff>281940</xdr:colOff>
      <xdr:row>69</xdr:row>
      <xdr:rowOff>147813</xdr:rowOff>
    </xdr:to>
    <xdr:pic>
      <xdr:nvPicPr>
        <xdr:cNvPr id="25" name="Рисунок 24" descr="Вырезка экрана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0840" y="12466321"/>
          <a:ext cx="2720340" cy="330692"/>
        </a:xfrm>
        <a:prstGeom prst="rect">
          <a:avLst/>
        </a:prstGeom>
      </xdr:spPr>
    </xdr:pic>
    <xdr:clientData/>
  </xdr:twoCellAnchor>
  <xdr:twoCellAnchor editAs="oneCell">
    <xdr:from>
      <xdr:col>37</xdr:col>
      <xdr:colOff>7620</xdr:colOff>
      <xdr:row>60</xdr:row>
      <xdr:rowOff>15240</xdr:rowOff>
    </xdr:from>
    <xdr:to>
      <xdr:col>41</xdr:col>
      <xdr:colOff>211</xdr:colOff>
      <xdr:row>62</xdr:row>
      <xdr:rowOff>30</xdr:rowOff>
    </xdr:to>
    <xdr:pic>
      <xdr:nvPicPr>
        <xdr:cNvPr id="26" name="Рисунок 25" descr="Вырезка экрана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2460" y="11018520"/>
          <a:ext cx="2430991" cy="350550"/>
        </a:xfrm>
        <a:prstGeom prst="rect">
          <a:avLst/>
        </a:prstGeom>
      </xdr:spPr>
    </xdr:pic>
    <xdr:clientData/>
  </xdr:twoCellAnchor>
  <xdr:twoCellAnchor editAs="oneCell">
    <xdr:from>
      <xdr:col>14</xdr:col>
      <xdr:colOff>129541</xdr:colOff>
      <xdr:row>87</xdr:row>
      <xdr:rowOff>7621</xdr:rowOff>
    </xdr:from>
    <xdr:to>
      <xdr:col>19</xdr:col>
      <xdr:colOff>205741</xdr:colOff>
      <xdr:row>92</xdr:row>
      <xdr:rowOff>78329</xdr:rowOff>
    </xdr:to>
    <xdr:pic>
      <xdr:nvPicPr>
        <xdr:cNvPr id="27" name="Рисунок 26" descr="Вырезка экрана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3581" y="15948661"/>
          <a:ext cx="3124200" cy="9851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9</xdr:col>
      <xdr:colOff>251940</xdr:colOff>
      <xdr:row>180</xdr:row>
      <xdr:rowOff>175513</xdr:rowOff>
    </xdr:to>
    <xdr:pic>
      <xdr:nvPicPr>
        <xdr:cNvPr id="28" name="Рисунок 27" descr="Вырезка экрана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0205680"/>
          <a:ext cx="5540220" cy="29187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7</xdr:col>
      <xdr:colOff>320385</xdr:colOff>
      <xdr:row>185</xdr:row>
      <xdr:rowOff>137219</xdr:rowOff>
    </xdr:to>
    <xdr:pic>
      <xdr:nvPicPr>
        <xdr:cNvPr id="29" name="Рисунок 28" descr="Вырезка экрана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3314640"/>
          <a:ext cx="3977985" cy="6858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7</xdr:col>
      <xdr:colOff>358488</xdr:colOff>
      <xdr:row>202</xdr:row>
      <xdr:rowOff>76318</xdr:rowOff>
    </xdr:to>
    <xdr:pic>
      <xdr:nvPicPr>
        <xdr:cNvPr id="30" name="Рисунок 29" descr="Вырезка экрана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5692080"/>
          <a:ext cx="4016088" cy="135647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205</xdr:row>
      <xdr:rowOff>0</xdr:rowOff>
    </xdr:from>
    <xdr:to>
      <xdr:col>7</xdr:col>
      <xdr:colOff>281941</xdr:colOff>
      <xdr:row>209</xdr:row>
      <xdr:rowOff>7620</xdr:rowOff>
    </xdr:to>
    <xdr:pic>
      <xdr:nvPicPr>
        <xdr:cNvPr id="31" name="Рисунок 30" descr="Вырезка экрана"/>
        <xdr:cNvPicPr>
          <a:picLocks noChangeAspect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94" b="43610"/>
        <a:stretch/>
      </xdr:blipFill>
      <xdr:spPr>
        <a:xfrm>
          <a:off x="609601" y="37520880"/>
          <a:ext cx="3939540" cy="7391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6</xdr:col>
      <xdr:colOff>579434</xdr:colOff>
      <xdr:row>221</xdr:row>
      <xdr:rowOff>106768</xdr:rowOff>
    </xdr:to>
    <xdr:pic>
      <xdr:nvPicPr>
        <xdr:cNvPr id="32" name="Рисунок 31" descr="Вырезка экрана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9532560"/>
          <a:ext cx="3627434" cy="10211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5</xdr:col>
      <xdr:colOff>91659</xdr:colOff>
      <xdr:row>226</xdr:row>
      <xdr:rowOff>175323</xdr:rowOff>
    </xdr:to>
    <xdr:pic>
      <xdr:nvPicPr>
        <xdr:cNvPr id="33" name="Рисунок 32" descr="Вырезка экрана"/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0812720"/>
          <a:ext cx="2530059" cy="7239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3</xdr:col>
      <xdr:colOff>266829</xdr:colOff>
      <xdr:row>228</xdr:row>
      <xdr:rowOff>45740</xdr:rowOff>
    </xdr:to>
    <xdr:pic>
      <xdr:nvPicPr>
        <xdr:cNvPr id="34" name="Рисунок 33" descr="Вырезка экрана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1544240"/>
          <a:ext cx="1486029" cy="22862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230</xdr:row>
      <xdr:rowOff>0</xdr:rowOff>
    </xdr:from>
    <xdr:to>
      <xdr:col>8</xdr:col>
      <xdr:colOff>693421</xdr:colOff>
      <xdr:row>233</xdr:row>
      <xdr:rowOff>91495</xdr:rowOff>
    </xdr:to>
    <xdr:pic>
      <xdr:nvPicPr>
        <xdr:cNvPr id="35" name="Рисунок 34" descr="Вырезка экрана"/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42092880"/>
          <a:ext cx="5143500" cy="6401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7</xdr:col>
      <xdr:colOff>579487</xdr:colOff>
      <xdr:row>245</xdr:row>
      <xdr:rowOff>106864</xdr:rowOff>
    </xdr:to>
    <xdr:pic>
      <xdr:nvPicPr>
        <xdr:cNvPr id="36" name="Рисунок 35" descr="Вырезка экрана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2824400"/>
          <a:ext cx="4237087" cy="21185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9</xdr:col>
      <xdr:colOff>335767</xdr:colOff>
      <xdr:row>263</xdr:row>
      <xdr:rowOff>122152</xdr:rowOff>
    </xdr:to>
    <xdr:pic>
      <xdr:nvPicPr>
        <xdr:cNvPr id="41" name="Рисунок 40" descr="Вырезка экрана"/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5567600"/>
          <a:ext cx="5624047" cy="26824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3</xdr:col>
      <xdr:colOff>457345</xdr:colOff>
      <xdr:row>272</xdr:row>
      <xdr:rowOff>175402</xdr:rowOff>
    </xdr:to>
    <xdr:pic>
      <xdr:nvPicPr>
        <xdr:cNvPr id="42" name="Рисунок 41" descr="Вырезка экрана"/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8310800"/>
          <a:ext cx="1676545" cy="16384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5</xdr:col>
      <xdr:colOff>106901</xdr:colOff>
      <xdr:row>274</xdr:row>
      <xdr:rowOff>91464</xdr:rowOff>
    </xdr:to>
    <xdr:pic>
      <xdr:nvPicPr>
        <xdr:cNvPr id="43" name="Рисунок 42" descr="Вырезка экрана"/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9956720"/>
          <a:ext cx="2545301" cy="2743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5</xdr:col>
      <xdr:colOff>251693</xdr:colOff>
      <xdr:row>276</xdr:row>
      <xdr:rowOff>106705</xdr:rowOff>
    </xdr:to>
    <xdr:pic>
      <xdr:nvPicPr>
        <xdr:cNvPr id="44" name="Рисунок 43" descr="Вырезка экрана"/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0322480"/>
          <a:ext cx="2690093" cy="28958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277</xdr:row>
      <xdr:rowOff>1</xdr:rowOff>
    </xdr:from>
    <xdr:to>
      <xdr:col>6</xdr:col>
      <xdr:colOff>548641</xdr:colOff>
      <xdr:row>282</xdr:row>
      <xdr:rowOff>43742</xdr:rowOff>
    </xdr:to>
    <xdr:pic>
      <xdr:nvPicPr>
        <xdr:cNvPr id="45" name="Рисунок 44" descr="Вырезка экрана"/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50688241"/>
          <a:ext cx="3596640" cy="95814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283</xdr:row>
      <xdr:rowOff>1</xdr:rowOff>
    </xdr:from>
    <xdr:to>
      <xdr:col>5</xdr:col>
      <xdr:colOff>434341</xdr:colOff>
      <xdr:row>288</xdr:row>
      <xdr:rowOff>2839</xdr:rowOff>
    </xdr:to>
    <xdr:pic>
      <xdr:nvPicPr>
        <xdr:cNvPr id="46" name="Рисунок 45" descr="Вырезка экрана"/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51785521"/>
          <a:ext cx="2872740" cy="917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3</xdr:col>
      <xdr:colOff>350656</xdr:colOff>
      <xdr:row>294</xdr:row>
      <xdr:rowOff>53376</xdr:rowOff>
    </xdr:to>
    <xdr:pic>
      <xdr:nvPicPr>
        <xdr:cNvPr id="47" name="Рисунок 46" descr="Вырезка экрана"/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3583840"/>
          <a:ext cx="1569856" cy="4191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541020</xdr:colOff>
      <xdr:row>0</xdr:row>
      <xdr:rowOff>0</xdr:rowOff>
    </xdr:from>
    <xdr:to>
      <xdr:col>9</xdr:col>
      <xdr:colOff>686060</xdr:colOff>
      <xdr:row>4</xdr:row>
      <xdr:rowOff>160097</xdr:rowOff>
    </xdr:to>
    <xdr:pic>
      <xdr:nvPicPr>
        <xdr:cNvPr id="2" name="Рисунок 1" descr="Вырезка экрана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9020" y="0"/>
          <a:ext cx="2994920" cy="891617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</xdr:colOff>
      <xdr:row>0</xdr:row>
      <xdr:rowOff>0</xdr:rowOff>
    </xdr:from>
    <xdr:to>
      <xdr:col>15</xdr:col>
      <xdr:colOff>602457</xdr:colOff>
      <xdr:row>11</xdr:row>
      <xdr:rowOff>12065</xdr:rowOff>
    </xdr:to>
    <xdr:pic>
      <xdr:nvPicPr>
        <xdr:cNvPr id="3" name="Рисунок 2" descr="Вырезка экрана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1880" y="0"/>
          <a:ext cx="3254217" cy="20237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53341</xdr:colOff>
      <xdr:row>60</xdr:row>
      <xdr:rowOff>30481</xdr:rowOff>
    </xdr:from>
    <xdr:to>
      <xdr:col>7</xdr:col>
      <xdr:colOff>53340</xdr:colOff>
      <xdr:row>73</xdr:row>
      <xdr:rowOff>77909</xdr:rowOff>
    </xdr:to>
    <xdr:pic>
      <xdr:nvPicPr>
        <xdr:cNvPr id="4" name="Рисунок 3" descr="Вырезка экрана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1" y="11033761"/>
          <a:ext cx="4267199" cy="2424868"/>
        </a:xfrm>
        <a:prstGeom prst="rect">
          <a:avLst/>
        </a:prstGeom>
      </xdr:spPr>
    </xdr:pic>
    <xdr:clientData/>
  </xdr:twoCellAnchor>
  <xdr:twoCellAnchor editAs="oneCell">
    <xdr:from>
      <xdr:col>10</xdr:col>
      <xdr:colOff>7621</xdr:colOff>
      <xdr:row>22</xdr:row>
      <xdr:rowOff>0</xdr:rowOff>
    </xdr:from>
    <xdr:to>
      <xdr:col>13</xdr:col>
      <xdr:colOff>205741</xdr:colOff>
      <xdr:row>25</xdr:row>
      <xdr:rowOff>165735</xdr:rowOff>
    </xdr:to>
    <xdr:pic>
      <xdr:nvPicPr>
        <xdr:cNvPr id="5" name="Рисунок 4" descr="Вырезка экрана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4181" y="4038600"/>
          <a:ext cx="2286000" cy="714375"/>
        </a:xfrm>
        <a:prstGeom prst="rect">
          <a:avLst/>
        </a:prstGeom>
      </xdr:spPr>
    </xdr:pic>
    <xdr:clientData/>
  </xdr:twoCellAnchor>
  <xdr:twoCellAnchor editAs="oneCell">
    <xdr:from>
      <xdr:col>7</xdr:col>
      <xdr:colOff>236220</xdr:colOff>
      <xdr:row>22</xdr:row>
      <xdr:rowOff>22860</xdr:rowOff>
    </xdr:from>
    <xdr:to>
      <xdr:col>9</xdr:col>
      <xdr:colOff>251603</xdr:colOff>
      <xdr:row>26</xdr:row>
      <xdr:rowOff>53406</xdr:rowOff>
    </xdr:to>
    <xdr:pic>
      <xdr:nvPicPr>
        <xdr:cNvPr id="6" name="Рисунок 5" descr="Вырезка экрана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3420" y="4061460"/>
          <a:ext cx="1646063" cy="762066"/>
        </a:xfrm>
        <a:prstGeom prst="rect">
          <a:avLst/>
        </a:prstGeom>
      </xdr:spPr>
    </xdr:pic>
    <xdr:clientData/>
  </xdr:twoCellAnchor>
  <xdr:twoCellAnchor editAs="oneCell">
    <xdr:from>
      <xdr:col>7</xdr:col>
      <xdr:colOff>121920</xdr:colOff>
      <xdr:row>12</xdr:row>
      <xdr:rowOff>144780</xdr:rowOff>
    </xdr:from>
    <xdr:to>
      <xdr:col>7</xdr:col>
      <xdr:colOff>571539</xdr:colOff>
      <xdr:row>16</xdr:row>
      <xdr:rowOff>99120</xdr:rowOff>
    </xdr:to>
    <xdr:pic>
      <xdr:nvPicPr>
        <xdr:cNvPr id="7" name="Рисунок 6" descr="Вырезка экрана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9120" y="2339340"/>
          <a:ext cx="449619" cy="693480"/>
        </a:xfrm>
        <a:prstGeom prst="rect">
          <a:avLst/>
        </a:prstGeom>
      </xdr:spPr>
    </xdr:pic>
    <xdr:clientData/>
  </xdr:twoCellAnchor>
  <xdr:twoCellAnchor editAs="oneCell">
    <xdr:from>
      <xdr:col>3</xdr:col>
      <xdr:colOff>167640</xdr:colOff>
      <xdr:row>22</xdr:row>
      <xdr:rowOff>15240</xdr:rowOff>
    </xdr:from>
    <xdr:to>
      <xdr:col>4</xdr:col>
      <xdr:colOff>7659</xdr:colOff>
      <xdr:row>25</xdr:row>
      <xdr:rowOff>137218</xdr:rowOff>
    </xdr:to>
    <xdr:pic>
      <xdr:nvPicPr>
        <xdr:cNvPr id="8" name="Рисунок 7" descr="Вырезка экрана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6440" y="4053840"/>
          <a:ext cx="449619" cy="670618"/>
        </a:xfrm>
        <a:prstGeom prst="rect">
          <a:avLst/>
        </a:prstGeom>
      </xdr:spPr>
    </xdr:pic>
    <xdr:clientData/>
  </xdr:twoCellAnchor>
  <xdr:oneCellAnchor>
    <xdr:from>
      <xdr:col>10</xdr:col>
      <xdr:colOff>7621</xdr:colOff>
      <xdr:row>48</xdr:row>
      <xdr:rowOff>0</xdr:rowOff>
    </xdr:from>
    <xdr:ext cx="2286000" cy="714375"/>
    <xdr:pic>
      <xdr:nvPicPr>
        <xdr:cNvPr id="9" name="Рисунок 8" descr="Вырезка экрана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4181" y="8808720"/>
          <a:ext cx="2286000" cy="714375"/>
        </a:xfrm>
        <a:prstGeom prst="rect">
          <a:avLst/>
        </a:prstGeom>
      </xdr:spPr>
    </xdr:pic>
    <xdr:clientData/>
  </xdr:oneCellAnchor>
  <xdr:oneCellAnchor>
    <xdr:from>
      <xdr:col>7</xdr:col>
      <xdr:colOff>236220</xdr:colOff>
      <xdr:row>48</xdr:row>
      <xdr:rowOff>22860</xdr:rowOff>
    </xdr:from>
    <xdr:ext cx="1646063" cy="762066"/>
    <xdr:pic>
      <xdr:nvPicPr>
        <xdr:cNvPr id="10" name="Рисунок 9" descr="Вырезка экрана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3420" y="8831580"/>
          <a:ext cx="1646063" cy="762066"/>
        </a:xfrm>
        <a:prstGeom prst="rect">
          <a:avLst/>
        </a:prstGeom>
      </xdr:spPr>
    </xdr:pic>
    <xdr:clientData/>
  </xdr:oneCellAnchor>
  <xdr:oneCellAnchor>
    <xdr:from>
      <xdr:col>7</xdr:col>
      <xdr:colOff>121920</xdr:colOff>
      <xdr:row>38</xdr:row>
      <xdr:rowOff>144780</xdr:rowOff>
    </xdr:from>
    <xdr:ext cx="449619" cy="693480"/>
    <xdr:pic>
      <xdr:nvPicPr>
        <xdr:cNvPr id="11" name="Рисунок 10" descr="Вырезка экрана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9120" y="7109460"/>
          <a:ext cx="449619" cy="693480"/>
        </a:xfrm>
        <a:prstGeom prst="rect">
          <a:avLst/>
        </a:prstGeom>
      </xdr:spPr>
    </xdr:pic>
    <xdr:clientData/>
  </xdr:oneCellAnchor>
  <xdr:oneCellAnchor>
    <xdr:from>
      <xdr:col>3</xdr:col>
      <xdr:colOff>167640</xdr:colOff>
      <xdr:row>48</xdr:row>
      <xdr:rowOff>15240</xdr:rowOff>
    </xdr:from>
    <xdr:ext cx="449619" cy="670618"/>
    <xdr:pic>
      <xdr:nvPicPr>
        <xdr:cNvPr id="12" name="Рисунок 11" descr="Вырезка экрана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6440" y="8823960"/>
          <a:ext cx="449619" cy="670618"/>
        </a:xfrm>
        <a:prstGeom prst="rect">
          <a:avLst/>
        </a:prstGeom>
      </xdr:spPr>
    </xdr:pic>
    <xdr:clientData/>
  </xdr:oneCellAnchor>
  <xdr:twoCellAnchor editAs="oneCell">
    <xdr:from>
      <xdr:col>0</xdr:col>
      <xdr:colOff>144781</xdr:colOff>
      <xdr:row>75</xdr:row>
      <xdr:rowOff>129541</xdr:rowOff>
    </xdr:from>
    <xdr:to>
      <xdr:col>4</xdr:col>
      <xdr:colOff>601981</xdr:colOff>
      <xdr:row>78</xdr:row>
      <xdr:rowOff>89945</xdr:rowOff>
    </xdr:to>
    <xdr:pic>
      <xdr:nvPicPr>
        <xdr:cNvPr id="13" name="Рисунок 12" descr="Вырезка экрана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1" y="13876021"/>
          <a:ext cx="2895600" cy="509044"/>
        </a:xfrm>
        <a:prstGeom prst="rect">
          <a:avLst/>
        </a:prstGeom>
      </xdr:spPr>
    </xdr:pic>
    <xdr:clientData/>
  </xdr:twoCellAnchor>
  <xdr:twoCellAnchor editAs="oneCell">
    <xdr:from>
      <xdr:col>0</xdr:col>
      <xdr:colOff>243840</xdr:colOff>
      <xdr:row>79</xdr:row>
      <xdr:rowOff>38100</xdr:rowOff>
    </xdr:from>
    <xdr:to>
      <xdr:col>4</xdr:col>
      <xdr:colOff>563387</xdr:colOff>
      <xdr:row>84</xdr:row>
      <xdr:rowOff>38100</xdr:rowOff>
    </xdr:to>
    <xdr:pic>
      <xdr:nvPicPr>
        <xdr:cNvPr id="14" name="Рисунок 13" descr="Вырезка экрана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" y="14516100"/>
          <a:ext cx="2757947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6</xdr:col>
      <xdr:colOff>396591</xdr:colOff>
      <xdr:row>93</xdr:row>
      <xdr:rowOff>38183</xdr:rowOff>
    </xdr:to>
    <xdr:pic>
      <xdr:nvPicPr>
        <xdr:cNvPr id="15" name="Рисунок 14" descr="Вырезка экрана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123920"/>
          <a:ext cx="4054191" cy="952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4</xdr:col>
      <xdr:colOff>480313</xdr:colOff>
      <xdr:row>98</xdr:row>
      <xdr:rowOff>114373</xdr:rowOff>
    </xdr:to>
    <xdr:pic>
      <xdr:nvPicPr>
        <xdr:cNvPr id="16" name="Рисунок 15" descr="Вырезка экрана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221200"/>
          <a:ext cx="2918713" cy="845893"/>
        </a:xfrm>
        <a:prstGeom prst="rect">
          <a:avLst/>
        </a:prstGeom>
      </xdr:spPr>
    </xdr:pic>
    <xdr:clientData/>
  </xdr:twoCellAnchor>
  <xdr:twoCellAnchor editAs="oneCell">
    <xdr:from>
      <xdr:col>0</xdr:col>
      <xdr:colOff>182880</xdr:colOff>
      <xdr:row>97</xdr:row>
      <xdr:rowOff>160020</xdr:rowOff>
    </xdr:from>
    <xdr:to>
      <xdr:col>3</xdr:col>
      <xdr:colOff>160177</xdr:colOff>
      <xdr:row>104</xdr:row>
      <xdr:rowOff>68683</xdr:rowOff>
    </xdr:to>
    <xdr:pic>
      <xdr:nvPicPr>
        <xdr:cNvPr id="17" name="Рисунок 16" descr="Вырезка экрана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" y="17929860"/>
          <a:ext cx="1806097" cy="11888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121920</xdr:rowOff>
    </xdr:from>
    <xdr:to>
      <xdr:col>5</xdr:col>
      <xdr:colOff>183160</xdr:colOff>
      <xdr:row>109</xdr:row>
      <xdr:rowOff>152482</xdr:rowOff>
    </xdr:to>
    <xdr:pic>
      <xdr:nvPicPr>
        <xdr:cNvPr id="18" name="Рисунок 17" descr="Вырезка экрана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171920"/>
          <a:ext cx="3231160" cy="944962"/>
        </a:xfrm>
        <a:prstGeom prst="rect">
          <a:avLst/>
        </a:prstGeom>
      </xdr:spPr>
    </xdr:pic>
    <xdr:clientData/>
  </xdr:twoCellAnchor>
  <xdr:twoCellAnchor editAs="oneCell">
    <xdr:from>
      <xdr:col>0</xdr:col>
      <xdr:colOff>312420</xdr:colOff>
      <xdr:row>111</xdr:row>
      <xdr:rowOff>76200</xdr:rowOff>
    </xdr:from>
    <xdr:to>
      <xdr:col>4</xdr:col>
      <xdr:colOff>411700</xdr:colOff>
      <xdr:row>112</xdr:row>
      <xdr:rowOff>114319</xdr:rowOff>
    </xdr:to>
    <xdr:pic>
      <xdr:nvPicPr>
        <xdr:cNvPr id="19" name="Рисунок 18" descr="Вырезка экрана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" y="20406360"/>
          <a:ext cx="2537680" cy="2209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9</xdr:col>
      <xdr:colOff>206216</xdr:colOff>
      <xdr:row>130</xdr:row>
      <xdr:rowOff>68855</xdr:rowOff>
    </xdr:to>
    <xdr:pic>
      <xdr:nvPicPr>
        <xdr:cNvPr id="20" name="Рисунок 19" descr="Вырезка экрана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0695920"/>
          <a:ext cx="5494496" cy="31778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8</xdr:col>
      <xdr:colOff>671010</xdr:colOff>
      <xdr:row>149</xdr:row>
      <xdr:rowOff>76492</xdr:rowOff>
    </xdr:to>
    <xdr:pic>
      <xdr:nvPicPr>
        <xdr:cNvPr id="21" name="Рисунок 20" descr="Вырезка экрана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3987760"/>
          <a:ext cx="5197290" cy="33683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7</xdr:col>
      <xdr:colOff>670935</xdr:colOff>
      <xdr:row>159</xdr:row>
      <xdr:rowOff>45867</xdr:rowOff>
    </xdr:to>
    <xdr:pic>
      <xdr:nvPicPr>
        <xdr:cNvPr id="22" name="Рисунок 21" descr="Вырезка экрана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7462480"/>
          <a:ext cx="4328535" cy="16917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6</xdr:col>
      <xdr:colOff>23126</xdr:colOff>
      <xdr:row>162</xdr:row>
      <xdr:rowOff>83859</xdr:rowOff>
    </xdr:to>
    <xdr:pic>
      <xdr:nvPicPr>
        <xdr:cNvPr id="23" name="Рисунок 22" descr="Вырезка экрана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9291280"/>
          <a:ext cx="3071126" cy="44961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62</xdr:row>
      <xdr:rowOff>1</xdr:rowOff>
    </xdr:from>
    <xdr:to>
      <xdr:col>16</xdr:col>
      <xdr:colOff>137559</xdr:colOff>
      <xdr:row>74</xdr:row>
      <xdr:rowOff>137161</xdr:rowOff>
    </xdr:to>
    <xdr:pic>
      <xdr:nvPicPr>
        <xdr:cNvPr id="24" name="Рисунок 23" descr="Вырезка экрана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4840" y="11369041"/>
          <a:ext cx="2575959" cy="23317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68</xdr:row>
      <xdr:rowOff>1</xdr:rowOff>
    </xdr:from>
    <xdr:to>
      <xdr:col>26</xdr:col>
      <xdr:colOff>281940</xdr:colOff>
      <xdr:row>69</xdr:row>
      <xdr:rowOff>147813</xdr:rowOff>
    </xdr:to>
    <xdr:pic>
      <xdr:nvPicPr>
        <xdr:cNvPr id="25" name="Рисунок 24" descr="Вырезка экрана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0840" y="12466321"/>
          <a:ext cx="2720340" cy="330692"/>
        </a:xfrm>
        <a:prstGeom prst="rect">
          <a:avLst/>
        </a:prstGeom>
      </xdr:spPr>
    </xdr:pic>
    <xdr:clientData/>
  </xdr:twoCellAnchor>
  <xdr:twoCellAnchor editAs="oneCell">
    <xdr:from>
      <xdr:col>37</xdr:col>
      <xdr:colOff>7620</xdr:colOff>
      <xdr:row>60</xdr:row>
      <xdr:rowOff>15240</xdr:rowOff>
    </xdr:from>
    <xdr:to>
      <xdr:col>41</xdr:col>
      <xdr:colOff>211</xdr:colOff>
      <xdr:row>62</xdr:row>
      <xdr:rowOff>30</xdr:rowOff>
    </xdr:to>
    <xdr:pic>
      <xdr:nvPicPr>
        <xdr:cNvPr id="26" name="Рисунок 25" descr="Вырезка экрана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2460" y="11018520"/>
          <a:ext cx="2430991" cy="350550"/>
        </a:xfrm>
        <a:prstGeom prst="rect">
          <a:avLst/>
        </a:prstGeom>
      </xdr:spPr>
    </xdr:pic>
    <xdr:clientData/>
  </xdr:twoCellAnchor>
  <xdr:twoCellAnchor editAs="oneCell">
    <xdr:from>
      <xdr:col>14</xdr:col>
      <xdr:colOff>129541</xdr:colOff>
      <xdr:row>87</xdr:row>
      <xdr:rowOff>7621</xdr:rowOff>
    </xdr:from>
    <xdr:to>
      <xdr:col>19</xdr:col>
      <xdr:colOff>205741</xdr:colOff>
      <xdr:row>92</xdr:row>
      <xdr:rowOff>78329</xdr:rowOff>
    </xdr:to>
    <xdr:pic>
      <xdr:nvPicPr>
        <xdr:cNvPr id="27" name="Рисунок 26" descr="Вырезка экрана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3581" y="15948661"/>
          <a:ext cx="3124200" cy="9851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9</xdr:col>
      <xdr:colOff>251940</xdr:colOff>
      <xdr:row>180</xdr:row>
      <xdr:rowOff>175513</xdr:rowOff>
    </xdr:to>
    <xdr:pic>
      <xdr:nvPicPr>
        <xdr:cNvPr id="28" name="Рисунок 27" descr="Вырезка экрана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0205680"/>
          <a:ext cx="5540220" cy="29187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7</xdr:col>
      <xdr:colOff>320385</xdr:colOff>
      <xdr:row>185</xdr:row>
      <xdr:rowOff>137219</xdr:rowOff>
    </xdr:to>
    <xdr:pic>
      <xdr:nvPicPr>
        <xdr:cNvPr id="29" name="Рисунок 28" descr="Вырезка экрана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3314640"/>
          <a:ext cx="3977985" cy="6858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7</xdr:col>
      <xdr:colOff>358488</xdr:colOff>
      <xdr:row>202</xdr:row>
      <xdr:rowOff>76318</xdr:rowOff>
    </xdr:to>
    <xdr:pic>
      <xdr:nvPicPr>
        <xdr:cNvPr id="30" name="Рисунок 29" descr="Вырезка экрана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5692080"/>
          <a:ext cx="4016088" cy="135647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205</xdr:row>
      <xdr:rowOff>0</xdr:rowOff>
    </xdr:from>
    <xdr:to>
      <xdr:col>7</xdr:col>
      <xdr:colOff>281941</xdr:colOff>
      <xdr:row>209</xdr:row>
      <xdr:rowOff>7620</xdr:rowOff>
    </xdr:to>
    <xdr:pic>
      <xdr:nvPicPr>
        <xdr:cNvPr id="31" name="Рисунок 30" descr="Вырезка экрана"/>
        <xdr:cNvPicPr>
          <a:picLocks noChangeAspect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94" b="43610"/>
        <a:stretch/>
      </xdr:blipFill>
      <xdr:spPr>
        <a:xfrm>
          <a:off x="609601" y="37520880"/>
          <a:ext cx="3939540" cy="7391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6</xdr:col>
      <xdr:colOff>579434</xdr:colOff>
      <xdr:row>221</xdr:row>
      <xdr:rowOff>106768</xdr:rowOff>
    </xdr:to>
    <xdr:pic>
      <xdr:nvPicPr>
        <xdr:cNvPr id="32" name="Рисунок 31" descr="Вырезка экрана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9532560"/>
          <a:ext cx="3627434" cy="10211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5</xdr:col>
      <xdr:colOff>91659</xdr:colOff>
      <xdr:row>226</xdr:row>
      <xdr:rowOff>175323</xdr:rowOff>
    </xdr:to>
    <xdr:pic>
      <xdr:nvPicPr>
        <xdr:cNvPr id="33" name="Рисунок 32" descr="Вырезка экрана"/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0812720"/>
          <a:ext cx="2530059" cy="7239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3</xdr:col>
      <xdr:colOff>266829</xdr:colOff>
      <xdr:row>228</xdr:row>
      <xdr:rowOff>45740</xdr:rowOff>
    </xdr:to>
    <xdr:pic>
      <xdr:nvPicPr>
        <xdr:cNvPr id="34" name="Рисунок 33" descr="Вырезка экрана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1544240"/>
          <a:ext cx="1486029" cy="22862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230</xdr:row>
      <xdr:rowOff>0</xdr:rowOff>
    </xdr:from>
    <xdr:to>
      <xdr:col>8</xdr:col>
      <xdr:colOff>693421</xdr:colOff>
      <xdr:row>233</xdr:row>
      <xdr:rowOff>91495</xdr:rowOff>
    </xdr:to>
    <xdr:pic>
      <xdr:nvPicPr>
        <xdr:cNvPr id="35" name="Рисунок 34" descr="Вырезка экрана"/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42092880"/>
          <a:ext cx="5143500" cy="6401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7</xdr:col>
      <xdr:colOff>579487</xdr:colOff>
      <xdr:row>245</xdr:row>
      <xdr:rowOff>106864</xdr:rowOff>
    </xdr:to>
    <xdr:pic>
      <xdr:nvPicPr>
        <xdr:cNvPr id="36" name="Рисунок 35" descr="Вырезка экрана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2824400"/>
          <a:ext cx="4237087" cy="21185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9</xdr:col>
      <xdr:colOff>335767</xdr:colOff>
      <xdr:row>263</xdr:row>
      <xdr:rowOff>122152</xdr:rowOff>
    </xdr:to>
    <xdr:pic>
      <xdr:nvPicPr>
        <xdr:cNvPr id="42" name="Рисунок 41" descr="Вырезка экрана"/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5567600"/>
          <a:ext cx="5624047" cy="26824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3</xdr:col>
      <xdr:colOff>457345</xdr:colOff>
      <xdr:row>272</xdr:row>
      <xdr:rowOff>175402</xdr:rowOff>
    </xdr:to>
    <xdr:pic>
      <xdr:nvPicPr>
        <xdr:cNvPr id="43" name="Рисунок 42" descr="Вырезка экрана"/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8310800"/>
          <a:ext cx="1676545" cy="16384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5</xdr:col>
      <xdr:colOff>106901</xdr:colOff>
      <xdr:row>274</xdr:row>
      <xdr:rowOff>91464</xdr:rowOff>
    </xdr:to>
    <xdr:pic>
      <xdr:nvPicPr>
        <xdr:cNvPr id="44" name="Рисунок 43" descr="Вырезка экрана"/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9956720"/>
          <a:ext cx="2545301" cy="2743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5</xdr:col>
      <xdr:colOff>251693</xdr:colOff>
      <xdr:row>276</xdr:row>
      <xdr:rowOff>106705</xdr:rowOff>
    </xdr:to>
    <xdr:pic>
      <xdr:nvPicPr>
        <xdr:cNvPr id="45" name="Рисунок 44" descr="Вырезка экрана"/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0322480"/>
          <a:ext cx="2690093" cy="28958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277</xdr:row>
      <xdr:rowOff>1</xdr:rowOff>
    </xdr:from>
    <xdr:to>
      <xdr:col>6</xdr:col>
      <xdr:colOff>548641</xdr:colOff>
      <xdr:row>282</xdr:row>
      <xdr:rowOff>43742</xdr:rowOff>
    </xdr:to>
    <xdr:pic>
      <xdr:nvPicPr>
        <xdr:cNvPr id="46" name="Рисунок 45" descr="Вырезка экрана"/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50688241"/>
          <a:ext cx="3596640" cy="95814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283</xdr:row>
      <xdr:rowOff>1</xdr:rowOff>
    </xdr:from>
    <xdr:to>
      <xdr:col>5</xdr:col>
      <xdr:colOff>434341</xdr:colOff>
      <xdr:row>288</xdr:row>
      <xdr:rowOff>2839</xdr:rowOff>
    </xdr:to>
    <xdr:pic>
      <xdr:nvPicPr>
        <xdr:cNvPr id="47" name="Рисунок 46" descr="Вырезка экрана"/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51785521"/>
          <a:ext cx="2872740" cy="917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3</xdr:col>
      <xdr:colOff>350656</xdr:colOff>
      <xdr:row>294</xdr:row>
      <xdr:rowOff>53376</xdr:rowOff>
    </xdr:to>
    <xdr:pic>
      <xdr:nvPicPr>
        <xdr:cNvPr id="48" name="Рисунок 47" descr="Вырезка экрана"/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3583840"/>
          <a:ext cx="1569856" cy="41913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541020</xdr:colOff>
      <xdr:row>0</xdr:row>
      <xdr:rowOff>0</xdr:rowOff>
    </xdr:from>
    <xdr:to>
      <xdr:col>9</xdr:col>
      <xdr:colOff>686060</xdr:colOff>
      <xdr:row>4</xdr:row>
      <xdr:rowOff>160097</xdr:rowOff>
    </xdr:to>
    <xdr:pic>
      <xdr:nvPicPr>
        <xdr:cNvPr id="2" name="Рисунок 1" descr="Вырезка экрана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9020" y="0"/>
          <a:ext cx="2994920" cy="891617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</xdr:colOff>
      <xdr:row>0</xdr:row>
      <xdr:rowOff>0</xdr:rowOff>
    </xdr:from>
    <xdr:to>
      <xdr:col>15</xdr:col>
      <xdr:colOff>602457</xdr:colOff>
      <xdr:row>11</xdr:row>
      <xdr:rowOff>12065</xdr:rowOff>
    </xdr:to>
    <xdr:pic>
      <xdr:nvPicPr>
        <xdr:cNvPr id="3" name="Рисунок 2" descr="Вырезка экрана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1880" y="0"/>
          <a:ext cx="3254217" cy="20237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53341</xdr:colOff>
      <xdr:row>60</xdr:row>
      <xdr:rowOff>30481</xdr:rowOff>
    </xdr:from>
    <xdr:to>
      <xdr:col>7</xdr:col>
      <xdr:colOff>53340</xdr:colOff>
      <xdr:row>73</xdr:row>
      <xdr:rowOff>77909</xdr:rowOff>
    </xdr:to>
    <xdr:pic>
      <xdr:nvPicPr>
        <xdr:cNvPr id="4" name="Рисунок 3" descr="Вырезка экрана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1" y="11033761"/>
          <a:ext cx="4267199" cy="2424868"/>
        </a:xfrm>
        <a:prstGeom prst="rect">
          <a:avLst/>
        </a:prstGeom>
      </xdr:spPr>
    </xdr:pic>
    <xdr:clientData/>
  </xdr:twoCellAnchor>
  <xdr:twoCellAnchor editAs="oneCell">
    <xdr:from>
      <xdr:col>10</xdr:col>
      <xdr:colOff>7621</xdr:colOff>
      <xdr:row>22</xdr:row>
      <xdr:rowOff>0</xdr:rowOff>
    </xdr:from>
    <xdr:to>
      <xdr:col>13</xdr:col>
      <xdr:colOff>205741</xdr:colOff>
      <xdr:row>25</xdr:row>
      <xdr:rowOff>165735</xdr:rowOff>
    </xdr:to>
    <xdr:pic>
      <xdr:nvPicPr>
        <xdr:cNvPr id="5" name="Рисунок 4" descr="Вырезка экрана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4181" y="4038600"/>
          <a:ext cx="2286000" cy="714375"/>
        </a:xfrm>
        <a:prstGeom prst="rect">
          <a:avLst/>
        </a:prstGeom>
      </xdr:spPr>
    </xdr:pic>
    <xdr:clientData/>
  </xdr:twoCellAnchor>
  <xdr:twoCellAnchor editAs="oneCell">
    <xdr:from>
      <xdr:col>7</xdr:col>
      <xdr:colOff>236220</xdr:colOff>
      <xdr:row>22</xdr:row>
      <xdr:rowOff>22860</xdr:rowOff>
    </xdr:from>
    <xdr:to>
      <xdr:col>9</xdr:col>
      <xdr:colOff>251603</xdr:colOff>
      <xdr:row>26</xdr:row>
      <xdr:rowOff>53406</xdr:rowOff>
    </xdr:to>
    <xdr:pic>
      <xdr:nvPicPr>
        <xdr:cNvPr id="6" name="Рисунок 5" descr="Вырезка экрана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3420" y="4061460"/>
          <a:ext cx="1646063" cy="762066"/>
        </a:xfrm>
        <a:prstGeom prst="rect">
          <a:avLst/>
        </a:prstGeom>
      </xdr:spPr>
    </xdr:pic>
    <xdr:clientData/>
  </xdr:twoCellAnchor>
  <xdr:twoCellAnchor editAs="oneCell">
    <xdr:from>
      <xdr:col>7</xdr:col>
      <xdr:colOff>121920</xdr:colOff>
      <xdr:row>12</xdr:row>
      <xdr:rowOff>144780</xdr:rowOff>
    </xdr:from>
    <xdr:to>
      <xdr:col>7</xdr:col>
      <xdr:colOff>571539</xdr:colOff>
      <xdr:row>16</xdr:row>
      <xdr:rowOff>99120</xdr:rowOff>
    </xdr:to>
    <xdr:pic>
      <xdr:nvPicPr>
        <xdr:cNvPr id="7" name="Рисунок 6" descr="Вырезка экрана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9120" y="2339340"/>
          <a:ext cx="449619" cy="693480"/>
        </a:xfrm>
        <a:prstGeom prst="rect">
          <a:avLst/>
        </a:prstGeom>
      </xdr:spPr>
    </xdr:pic>
    <xdr:clientData/>
  </xdr:twoCellAnchor>
  <xdr:twoCellAnchor editAs="oneCell">
    <xdr:from>
      <xdr:col>3</xdr:col>
      <xdr:colOff>167640</xdr:colOff>
      <xdr:row>22</xdr:row>
      <xdr:rowOff>15240</xdr:rowOff>
    </xdr:from>
    <xdr:to>
      <xdr:col>4</xdr:col>
      <xdr:colOff>7659</xdr:colOff>
      <xdr:row>25</xdr:row>
      <xdr:rowOff>137218</xdr:rowOff>
    </xdr:to>
    <xdr:pic>
      <xdr:nvPicPr>
        <xdr:cNvPr id="8" name="Рисунок 7" descr="Вырезка экрана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6440" y="4053840"/>
          <a:ext cx="449619" cy="670618"/>
        </a:xfrm>
        <a:prstGeom prst="rect">
          <a:avLst/>
        </a:prstGeom>
      </xdr:spPr>
    </xdr:pic>
    <xdr:clientData/>
  </xdr:twoCellAnchor>
  <xdr:oneCellAnchor>
    <xdr:from>
      <xdr:col>10</xdr:col>
      <xdr:colOff>7621</xdr:colOff>
      <xdr:row>48</xdr:row>
      <xdr:rowOff>0</xdr:rowOff>
    </xdr:from>
    <xdr:ext cx="2286000" cy="714375"/>
    <xdr:pic>
      <xdr:nvPicPr>
        <xdr:cNvPr id="9" name="Рисунок 8" descr="Вырезка экрана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4181" y="8808720"/>
          <a:ext cx="2286000" cy="714375"/>
        </a:xfrm>
        <a:prstGeom prst="rect">
          <a:avLst/>
        </a:prstGeom>
      </xdr:spPr>
    </xdr:pic>
    <xdr:clientData/>
  </xdr:oneCellAnchor>
  <xdr:oneCellAnchor>
    <xdr:from>
      <xdr:col>7</xdr:col>
      <xdr:colOff>236220</xdr:colOff>
      <xdr:row>48</xdr:row>
      <xdr:rowOff>22860</xdr:rowOff>
    </xdr:from>
    <xdr:ext cx="1646063" cy="762066"/>
    <xdr:pic>
      <xdr:nvPicPr>
        <xdr:cNvPr id="10" name="Рисунок 9" descr="Вырезка экрана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3420" y="8831580"/>
          <a:ext cx="1646063" cy="762066"/>
        </a:xfrm>
        <a:prstGeom prst="rect">
          <a:avLst/>
        </a:prstGeom>
      </xdr:spPr>
    </xdr:pic>
    <xdr:clientData/>
  </xdr:oneCellAnchor>
  <xdr:oneCellAnchor>
    <xdr:from>
      <xdr:col>7</xdr:col>
      <xdr:colOff>121920</xdr:colOff>
      <xdr:row>38</xdr:row>
      <xdr:rowOff>144780</xdr:rowOff>
    </xdr:from>
    <xdr:ext cx="449619" cy="693480"/>
    <xdr:pic>
      <xdr:nvPicPr>
        <xdr:cNvPr id="11" name="Рисунок 10" descr="Вырезка экрана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9120" y="7109460"/>
          <a:ext cx="449619" cy="693480"/>
        </a:xfrm>
        <a:prstGeom prst="rect">
          <a:avLst/>
        </a:prstGeom>
      </xdr:spPr>
    </xdr:pic>
    <xdr:clientData/>
  </xdr:oneCellAnchor>
  <xdr:oneCellAnchor>
    <xdr:from>
      <xdr:col>3</xdr:col>
      <xdr:colOff>167640</xdr:colOff>
      <xdr:row>48</xdr:row>
      <xdr:rowOff>15240</xdr:rowOff>
    </xdr:from>
    <xdr:ext cx="449619" cy="670618"/>
    <xdr:pic>
      <xdr:nvPicPr>
        <xdr:cNvPr id="12" name="Рисунок 11" descr="Вырезка экрана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6440" y="8823960"/>
          <a:ext cx="449619" cy="670618"/>
        </a:xfrm>
        <a:prstGeom prst="rect">
          <a:avLst/>
        </a:prstGeom>
      </xdr:spPr>
    </xdr:pic>
    <xdr:clientData/>
  </xdr:oneCellAnchor>
  <xdr:twoCellAnchor editAs="oneCell">
    <xdr:from>
      <xdr:col>0</xdr:col>
      <xdr:colOff>144781</xdr:colOff>
      <xdr:row>75</xdr:row>
      <xdr:rowOff>129541</xdr:rowOff>
    </xdr:from>
    <xdr:to>
      <xdr:col>4</xdr:col>
      <xdr:colOff>601981</xdr:colOff>
      <xdr:row>78</xdr:row>
      <xdr:rowOff>89945</xdr:rowOff>
    </xdr:to>
    <xdr:pic>
      <xdr:nvPicPr>
        <xdr:cNvPr id="13" name="Рисунок 12" descr="Вырезка экрана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1" y="13876021"/>
          <a:ext cx="2895600" cy="509044"/>
        </a:xfrm>
        <a:prstGeom prst="rect">
          <a:avLst/>
        </a:prstGeom>
      </xdr:spPr>
    </xdr:pic>
    <xdr:clientData/>
  </xdr:twoCellAnchor>
  <xdr:twoCellAnchor editAs="oneCell">
    <xdr:from>
      <xdr:col>0</xdr:col>
      <xdr:colOff>243840</xdr:colOff>
      <xdr:row>79</xdr:row>
      <xdr:rowOff>38100</xdr:rowOff>
    </xdr:from>
    <xdr:to>
      <xdr:col>4</xdr:col>
      <xdr:colOff>563387</xdr:colOff>
      <xdr:row>84</xdr:row>
      <xdr:rowOff>38100</xdr:rowOff>
    </xdr:to>
    <xdr:pic>
      <xdr:nvPicPr>
        <xdr:cNvPr id="14" name="Рисунок 13" descr="Вырезка экрана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" y="14516100"/>
          <a:ext cx="2757947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6</xdr:col>
      <xdr:colOff>396591</xdr:colOff>
      <xdr:row>93</xdr:row>
      <xdr:rowOff>38183</xdr:rowOff>
    </xdr:to>
    <xdr:pic>
      <xdr:nvPicPr>
        <xdr:cNvPr id="15" name="Рисунок 14" descr="Вырезка экрана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123920"/>
          <a:ext cx="4054191" cy="952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4</xdr:col>
      <xdr:colOff>480313</xdr:colOff>
      <xdr:row>98</xdr:row>
      <xdr:rowOff>114373</xdr:rowOff>
    </xdr:to>
    <xdr:pic>
      <xdr:nvPicPr>
        <xdr:cNvPr id="16" name="Рисунок 15" descr="Вырезка экрана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221200"/>
          <a:ext cx="2918713" cy="845893"/>
        </a:xfrm>
        <a:prstGeom prst="rect">
          <a:avLst/>
        </a:prstGeom>
      </xdr:spPr>
    </xdr:pic>
    <xdr:clientData/>
  </xdr:twoCellAnchor>
  <xdr:twoCellAnchor editAs="oneCell">
    <xdr:from>
      <xdr:col>0</xdr:col>
      <xdr:colOff>182880</xdr:colOff>
      <xdr:row>97</xdr:row>
      <xdr:rowOff>160020</xdr:rowOff>
    </xdr:from>
    <xdr:to>
      <xdr:col>3</xdr:col>
      <xdr:colOff>160177</xdr:colOff>
      <xdr:row>104</xdr:row>
      <xdr:rowOff>68683</xdr:rowOff>
    </xdr:to>
    <xdr:pic>
      <xdr:nvPicPr>
        <xdr:cNvPr id="17" name="Рисунок 16" descr="Вырезка экрана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" y="17929860"/>
          <a:ext cx="1806097" cy="11888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121920</xdr:rowOff>
    </xdr:from>
    <xdr:to>
      <xdr:col>5</xdr:col>
      <xdr:colOff>183160</xdr:colOff>
      <xdr:row>109</xdr:row>
      <xdr:rowOff>152482</xdr:rowOff>
    </xdr:to>
    <xdr:pic>
      <xdr:nvPicPr>
        <xdr:cNvPr id="18" name="Рисунок 17" descr="Вырезка экрана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171920"/>
          <a:ext cx="3231160" cy="944962"/>
        </a:xfrm>
        <a:prstGeom prst="rect">
          <a:avLst/>
        </a:prstGeom>
      </xdr:spPr>
    </xdr:pic>
    <xdr:clientData/>
  </xdr:twoCellAnchor>
  <xdr:twoCellAnchor editAs="oneCell">
    <xdr:from>
      <xdr:col>0</xdr:col>
      <xdr:colOff>312420</xdr:colOff>
      <xdr:row>111</xdr:row>
      <xdr:rowOff>76200</xdr:rowOff>
    </xdr:from>
    <xdr:to>
      <xdr:col>4</xdr:col>
      <xdr:colOff>411700</xdr:colOff>
      <xdr:row>112</xdr:row>
      <xdr:rowOff>114319</xdr:rowOff>
    </xdr:to>
    <xdr:pic>
      <xdr:nvPicPr>
        <xdr:cNvPr id="19" name="Рисунок 18" descr="Вырезка экрана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" y="20406360"/>
          <a:ext cx="2537680" cy="2209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9</xdr:col>
      <xdr:colOff>206216</xdr:colOff>
      <xdr:row>130</xdr:row>
      <xdr:rowOff>68855</xdr:rowOff>
    </xdr:to>
    <xdr:pic>
      <xdr:nvPicPr>
        <xdr:cNvPr id="20" name="Рисунок 19" descr="Вырезка экрана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0695920"/>
          <a:ext cx="5494496" cy="31778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8</xdr:col>
      <xdr:colOff>671010</xdr:colOff>
      <xdr:row>149</xdr:row>
      <xdr:rowOff>76492</xdr:rowOff>
    </xdr:to>
    <xdr:pic>
      <xdr:nvPicPr>
        <xdr:cNvPr id="21" name="Рисунок 20" descr="Вырезка экрана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3987760"/>
          <a:ext cx="5197290" cy="33683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7</xdr:col>
      <xdr:colOff>670935</xdr:colOff>
      <xdr:row>159</xdr:row>
      <xdr:rowOff>45867</xdr:rowOff>
    </xdr:to>
    <xdr:pic>
      <xdr:nvPicPr>
        <xdr:cNvPr id="22" name="Рисунок 21" descr="Вырезка экрана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7462480"/>
          <a:ext cx="4328535" cy="16917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6</xdr:col>
      <xdr:colOff>23126</xdr:colOff>
      <xdr:row>162</xdr:row>
      <xdr:rowOff>83859</xdr:rowOff>
    </xdr:to>
    <xdr:pic>
      <xdr:nvPicPr>
        <xdr:cNvPr id="23" name="Рисунок 22" descr="Вырезка экрана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9291280"/>
          <a:ext cx="3071126" cy="44961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62</xdr:row>
      <xdr:rowOff>1</xdr:rowOff>
    </xdr:from>
    <xdr:to>
      <xdr:col>16</xdr:col>
      <xdr:colOff>137559</xdr:colOff>
      <xdr:row>74</xdr:row>
      <xdr:rowOff>137161</xdr:rowOff>
    </xdr:to>
    <xdr:pic>
      <xdr:nvPicPr>
        <xdr:cNvPr id="24" name="Рисунок 23" descr="Вырезка экрана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4840" y="11369041"/>
          <a:ext cx="2575959" cy="23317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68</xdr:row>
      <xdr:rowOff>1</xdr:rowOff>
    </xdr:from>
    <xdr:to>
      <xdr:col>26</xdr:col>
      <xdr:colOff>281940</xdr:colOff>
      <xdr:row>69</xdr:row>
      <xdr:rowOff>147813</xdr:rowOff>
    </xdr:to>
    <xdr:pic>
      <xdr:nvPicPr>
        <xdr:cNvPr id="25" name="Рисунок 24" descr="Вырезка экрана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0840" y="12466321"/>
          <a:ext cx="2720340" cy="330692"/>
        </a:xfrm>
        <a:prstGeom prst="rect">
          <a:avLst/>
        </a:prstGeom>
      </xdr:spPr>
    </xdr:pic>
    <xdr:clientData/>
  </xdr:twoCellAnchor>
  <xdr:twoCellAnchor editAs="oneCell">
    <xdr:from>
      <xdr:col>37</xdr:col>
      <xdr:colOff>7620</xdr:colOff>
      <xdr:row>60</xdr:row>
      <xdr:rowOff>15240</xdr:rowOff>
    </xdr:from>
    <xdr:to>
      <xdr:col>41</xdr:col>
      <xdr:colOff>211</xdr:colOff>
      <xdr:row>62</xdr:row>
      <xdr:rowOff>30</xdr:rowOff>
    </xdr:to>
    <xdr:pic>
      <xdr:nvPicPr>
        <xdr:cNvPr id="26" name="Рисунок 25" descr="Вырезка экрана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2460" y="11018520"/>
          <a:ext cx="2430991" cy="350550"/>
        </a:xfrm>
        <a:prstGeom prst="rect">
          <a:avLst/>
        </a:prstGeom>
      </xdr:spPr>
    </xdr:pic>
    <xdr:clientData/>
  </xdr:twoCellAnchor>
  <xdr:twoCellAnchor editAs="oneCell">
    <xdr:from>
      <xdr:col>14</xdr:col>
      <xdr:colOff>129541</xdr:colOff>
      <xdr:row>87</xdr:row>
      <xdr:rowOff>7621</xdr:rowOff>
    </xdr:from>
    <xdr:to>
      <xdr:col>19</xdr:col>
      <xdr:colOff>205741</xdr:colOff>
      <xdr:row>92</xdr:row>
      <xdr:rowOff>78329</xdr:rowOff>
    </xdr:to>
    <xdr:pic>
      <xdr:nvPicPr>
        <xdr:cNvPr id="27" name="Рисунок 26" descr="Вырезка экрана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3581" y="15948661"/>
          <a:ext cx="3124200" cy="9851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9</xdr:col>
      <xdr:colOff>251940</xdr:colOff>
      <xdr:row>180</xdr:row>
      <xdr:rowOff>175513</xdr:rowOff>
    </xdr:to>
    <xdr:pic>
      <xdr:nvPicPr>
        <xdr:cNvPr id="28" name="Рисунок 27" descr="Вырезка экрана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0205680"/>
          <a:ext cx="5540220" cy="29187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7</xdr:col>
      <xdr:colOff>320385</xdr:colOff>
      <xdr:row>185</xdr:row>
      <xdr:rowOff>137219</xdr:rowOff>
    </xdr:to>
    <xdr:pic>
      <xdr:nvPicPr>
        <xdr:cNvPr id="29" name="Рисунок 28" descr="Вырезка экрана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3314640"/>
          <a:ext cx="3977985" cy="6858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7</xdr:col>
      <xdr:colOff>358488</xdr:colOff>
      <xdr:row>202</xdr:row>
      <xdr:rowOff>76318</xdr:rowOff>
    </xdr:to>
    <xdr:pic>
      <xdr:nvPicPr>
        <xdr:cNvPr id="30" name="Рисунок 29" descr="Вырезка экрана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5692080"/>
          <a:ext cx="4016088" cy="135647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205</xdr:row>
      <xdr:rowOff>0</xdr:rowOff>
    </xdr:from>
    <xdr:to>
      <xdr:col>7</xdr:col>
      <xdr:colOff>281941</xdr:colOff>
      <xdr:row>209</xdr:row>
      <xdr:rowOff>7620</xdr:rowOff>
    </xdr:to>
    <xdr:pic>
      <xdr:nvPicPr>
        <xdr:cNvPr id="31" name="Рисунок 30" descr="Вырезка экрана"/>
        <xdr:cNvPicPr>
          <a:picLocks noChangeAspect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94" b="43610"/>
        <a:stretch/>
      </xdr:blipFill>
      <xdr:spPr>
        <a:xfrm>
          <a:off x="609601" y="37520880"/>
          <a:ext cx="3939540" cy="7391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6</xdr:col>
      <xdr:colOff>579434</xdr:colOff>
      <xdr:row>221</xdr:row>
      <xdr:rowOff>106768</xdr:rowOff>
    </xdr:to>
    <xdr:pic>
      <xdr:nvPicPr>
        <xdr:cNvPr id="32" name="Рисунок 31" descr="Вырезка экрана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9532560"/>
          <a:ext cx="3627434" cy="10211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5</xdr:col>
      <xdr:colOff>91659</xdr:colOff>
      <xdr:row>226</xdr:row>
      <xdr:rowOff>175323</xdr:rowOff>
    </xdr:to>
    <xdr:pic>
      <xdr:nvPicPr>
        <xdr:cNvPr id="33" name="Рисунок 32" descr="Вырезка экрана"/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0812720"/>
          <a:ext cx="2530059" cy="7239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3</xdr:col>
      <xdr:colOff>266829</xdr:colOff>
      <xdr:row>228</xdr:row>
      <xdr:rowOff>45740</xdr:rowOff>
    </xdr:to>
    <xdr:pic>
      <xdr:nvPicPr>
        <xdr:cNvPr id="34" name="Рисунок 33" descr="Вырезка экрана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1544240"/>
          <a:ext cx="1486029" cy="22862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230</xdr:row>
      <xdr:rowOff>0</xdr:rowOff>
    </xdr:from>
    <xdr:to>
      <xdr:col>8</xdr:col>
      <xdr:colOff>693421</xdr:colOff>
      <xdr:row>233</xdr:row>
      <xdr:rowOff>91495</xdr:rowOff>
    </xdr:to>
    <xdr:pic>
      <xdr:nvPicPr>
        <xdr:cNvPr id="35" name="Рисунок 34" descr="Вырезка экрана"/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42092880"/>
          <a:ext cx="5143500" cy="6401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7</xdr:col>
      <xdr:colOff>579487</xdr:colOff>
      <xdr:row>245</xdr:row>
      <xdr:rowOff>106864</xdr:rowOff>
    </xdr:to>
    <xdr:pic>
      <xdr:nvPicPr>
        <xdr:cNvPr id="36" name="Рисунок 35" descr="Вырезка экрана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2824400"/>
          <a:ext cx="4237087" cy="21185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9</xdr:col>
      <xdr:colOff>335767</xdr:colOff>
      <xdr:row>263</xdr:row>
      <xdr:rowOff>122152</xdr:rowOff>
    </xdr:to>
    <xdr:pic>
      <xdr:nvPicPr>
        <xdr:cNvPr id="41" name="Рисунок 40" descr="Вырезка экрана"/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5567600"/>
          <a:ext cx="5624047" cy="26824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3</xdr:col>
      <xdr:colOff>457345</xdr:colOff>
      <xdr:row>272</xdr:row>
      <xdr:rowOff>175402</xdr:rowOff>
    </xdr:to>
    <xdr:pic>
      <xdr:nvPicPr>
        <xdr:cNvPr id="42" name="Рисунок 41" descr="Вырезка экрана"/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8310800"/>
          <a:ext cx="1676545" cy="16384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5</xdr:col>
      <xdr:colOff>106901</xdr:colOff>
      <xdr:row>274</xdr:row>
      <xdr:rowOff>91464</xdr:rowOff>
    </xdr:to>
    <xdr:pic>
      <xdr:nvPicPr>
        <xdr:cNvPr id="43" name="Рисунок 42" descr="Вырезка экрана"/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9956720"/>
          <a:ext cx="2545301" cy="2743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5</xdr:col>
      <xdr:colOff>251693</xdr:colOff>
      <xdr:row>276</xdr:row>
      <xdr:rowOff>106705</xdr:rowOff>
    </xdr:to>
    <xdr:pic>
      <xdr:nvPicPr>
        <xdr:cNvPr id="44" name="Рисунок 43" descr="Вырезка экрана"/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0322480"/>
          <a:ext cx="2690093" cy="28958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277</xdr:row>
      <xdr:rowOff>1</xdr:rowOff>
    </xdr:from>
    <xdr:to>
      <xdr:col>6</xdr:col>
      <xdr:colOff>548641</xdr:colOff>
      <xdr:row>282</xdr:row>
      <xdr:rowOff>43742</xdr:rowOff>
    </xdr:to>
    <xdr:pic>
      <xdr:nvPicPr>
        <xdr:cNvPr id="45" name="Рисунок 44" descr="Вырезка экрана"/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50688241"/>
          <a:ext cx="3596640" cy="95814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283</xdr:row>
      <xdr:rowOff>1</xdr:rowOff>
    </xdr:from>
    <xdr:to>
      <xdr:col>5</xdr:col>
      <xdr:colOff>434341</xdr:colOff>
      <xdr:row>288</xdr:row>
      <xdr:rowOff>2839</xdr:rowOff>
    </xdr:to>
    <xdr:pic>
      <xdr:nvPicPr>
        <xdr:cNvPr id="46" name="Рисунок 45" descr="Вырезка экрана"/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51785521"/>
          <a:ext cx="2872740" cy="917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3</xdr:col>
      <xdr:colOff>350656</xdr:colOff>
      <xdr:row>294</xdr:row>
      <xdr:rowOff>53376</xdr:rowOff>
    </xdr:to>
    <xdr:pic>
      <xdr:nvPicPr>
        <xdr:cNvPr id="47" name="Рисунок 46" descr="Вырезка экрана"/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3583840"/>
          <a:ext cx="1569856" cy="41913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541020</xdr:colOff>
      <xdr:row>0</xdr:row>
      <xdr:rowOff>0</xdr:rowOff>
    </xdr:from>
    <xdr:to>
      <xdr:col>9</xdr:col>
      <xdr:colOff>686060</xdr:colOff>
      <xdr:row>4</xdr:row>
      <xdr:rowOff>160097</xdr:rowOff>
    </xdr:to>
    <xdr:pic>
      <xdr:nvPicPr>
        <xdr:cNvPr id="2" name="Рисунок 1" descr="Вырезка экрана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9020" y="0"/>
          <a:ext cx="2994920" cy="891617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</xdr:colOff>
      <xdr:row>0</xdr:row>
      <xdr:rowOff>0</xdr:rowOff>
    </xdr:from>
    <xdr:to>
      <xdr:col>15</xdr:col>
      <xdr:colOff>602457</xdr:colOff>
      <xdr:row>11</xdr:row>
      <xdr:rowOff>12065</xdr:rowOff>
    </xdr:to>
    <xdr:pic>
      <xdr:nvPicPr>
        <xdr:cNvPr id="3" name="Рисунок 2" descr="Вырезка экрана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1880" y="0"/>
          <a:ext cx="3254217" cy="20237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53341</xdr:colOff>
      <xdr:row>60</xdr:row>
      <xdr:rowOff>30481</xdr:rowOff>
    </xdr:from>
    <xdr:to>
      <xdr:col>7</xdr:col>
      <xdr:colOff>53340</xdr:colOff>
      <xdr:row>73</xdr:row>
      <xdr:rowOff>77909</xdr:rowOff>
    </xdr:to>
    <xdr:pic>
      <xdr:nvPicPr>
        <xdr:cNvPr id="4" name="Рисунок 3" descr="Вырезка экрана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1" y="11033761"/>
          <a:ext cx="4267199" cy="2424868"/>
        </a:xfrm>
        <a:prstGeom prst="rect">
          <a:avLst/>
        </a:prstGeom>
      </xdr:spPr>
    </xdr:pic>
    <xdr:clientData/>
  </xdr:twoCellAnchor>
  <xdr:twoCellAnchor editAs="oneCell">
    <xdr:from>
      <xdr:col>10</xdr:col>
      <xdr:colOff>7621</xdr:colOff>
      <xdr:row>22</xdr:row>
      <xdr:rowOff>0</xdr:rowOff>
    </xdr:from>
    <xdr:to>
      <xdr:col>13</xdr:col>
      <xdr:colOff>205741</xdr:colOff>
      <xdr:row>25</xdr:row>
      <xdr:rowOff>165735</xdr:rowOff>
    </xdr:to>
    <xdr:pic>
      <xdr:nvPicPr>
        <xdr:cNvPr id="5" name="Рисунок 4" descr="Вырезка экрана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4181" y="4038600"/>
          <a:ext cx="2286000" cy="714375"/>
        </a:xfrm>
        <a:prstGeom prst="rect">
          <a:avLst/>
        </a:prstGeom>
      </xdr:spPr>
    </xdr:pic>
    <xdr:clientData/>
  </xdr:twoCellAnchor>
  <xdr:twoCellAnchor editAs="oneCell">
    <xdr:from>
      <xdr:col>7</xdr:col>
      <xdr:colOff>236220</xdr:colOff>
      <xdr:row>22</xdr:row>
      <xdr:rowOff>22860</xdr:rowOff>
    </xdr:from>
    <xdr:to>
      <xdr:col>9</xdr:col>
      <xdr:colOff>251603</xdr:colOff>
      <xdr:row>26</xdr:row>
      <xdr:rowOff>53406</xdr:rowOff>
    </xdr:to>
    <xdr:pic>
      <xdr:nvPicPr>
        <xdr:cNvPr id="6" name="Рисунок 5" descr="Вырезка экрана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3420" y="4061460"/>
          <a:ext cx="1646063" cy="762066"/>
        </a:xfrm>
        <a:prstGeom prst="rect">
          <a:avLst/>
        </a:prstGeom>
      </xdr:spPr>
    </xdr:pic>
    <xdr:clientData/>
  </xdr:twoCellAnchor>
  <xdr:twoCellAnchor editAs="oneCell">
    <xdr:from>
      <xdr:col>7</xdr:col>
      <xdr:colOff>121920</xdr:colOff>
      <xdr:row>12</xdr:row>
      <xdr:rowOff>144780</xdr:rowOff>
    </xdr:from>
    <xdr:to>
      <xdr:col>7</xdr:col>
      <xdr:colOff>571539</xdr:colOff>
      <xdr:row>16</xdr:row>
      <xdr:rowOff>99120</xdr:rowOff>
    </xdr:to>
    <xdr:pic>
      <xdr:nvPicPr>
        <xdr:cNvPr id="7" name="Рисунок 6" descr="Вырезка экрана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9120" y="2339340"/>
          <a:ext cx="449619" cy="693480"/>
        </a:xfrm>
        <a:prstGeom prst="rect">
          <a:avLst/>
        </a:prstGeom>
      </xdr:spPr>
    </xdr:pic>
    <xdr:clientData/>
  </xdr:twoCellAnchor>
  <xdr:twoCellAnchor editAs="oneCell">
    <xdr:from>
      <xdr:col>3</xdr:col>
      <xdr:colOff>167640</xdr:colOff>
      <xdr:row>22</xdr:row>
      <xdr:rowOff>15240</xdr:rowOff>
    </xdr:from>
    <xdr:to>
      <xdr:col>4</xdr:col>
      <xdr:colOff>7659</xdr:colOff>
      <xdr:row>25</xdr:row>
      <xdr:rowOff>137218</xdr:rowOff>
    </xdr:to>
    <xdr:pic>
      <xdr:nvPicPr>
        <xdr:cNvPr id="8" name="Рисунок 7" descr="Вырезка экрана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6440" y="4053840"/>
          <a:ext cx="449619" cy="670618"/>
        </a:xfrm>
        <a:prstGeom prst="rect">
          <a:avLst/>
        </a:prstGeom>
      </xdr:spPr>
    </xdr:pic>
    <xdr:clientData/>
  </xdr:twoCellAnchor>
  <xdr:oneCellAnchor>
    <xdr:from>
      <xdr:col>10</xdr:col>
      <xdr:colOff>7621</xdr:colOff>
      <xdr:row>48</xdr:row>
      <xdr:rowOff>0</xdr:rowOff>
    </xdr:from>
    <xdr:ext cx="2286000" cy="714375"/>
    <xdr:pic>
      <xdr:nvPicPr>
        <xdr:cNvPr id="9" name="Рисунок 8" descr="Вырезка экрана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4181" y="8808720"/>
          <a:ext cx="2286000" cy="714375"/>
        </a:xfrm>
        <a:prstGeom prst="rect">
          <a:avLst/>
        </a:prstGeom>
      </xdr:spPr>
    </xdr:pic>
    <xdr:clientData/>
  </xdr:oneCellAnchor>
  <xdr:oneCellAnchor>
    <xdr:from>
      <xdr:col>7</xdr:col>
      <xdr:colOff>236220</xdr:colOff>
      <xdr:row>48</xdr:row>
      <xdr:rowOff>22860</xdr:rowOff>
    </xdr:from>
    <xdr:ext cx="1646063" cy="762066"/>
    <xdr:pic>
      <xdr:nvPicPr>
        <xdr:cNvPr id="10" name="Рисунок 9" descr="Вырезка экрана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3420" y="8831580"/>
          <a:ext cx="1646063" cy="762066"/>
        </a:xfrm>
        <a:prstGeom prst="rect">
          <a:avLst/>
        </a:prstGeom>
      </xdr:spPr>
    </xdr:pic>
    <xdr:clientData/>
  </xdr:oneCellAnchor>
  <xdr:oneCellAnchor>
    <xdr:from>
      <xdr:col>7</xdr:col>
      <xdr:colOff>121920</xdr:colOff>
      <xdr:row>38</xdr:row>
      <xdr:rowOff>144780</xdr:rowOff>
    </xdr:from>
    <xdr:ext cx="449619" cy="693480"/>
    <xdr:pic>
      <xdr:nvPicPr>
        <xdr:cNvPr id="11" name="Рисунок 10" descr="Вырезка экрана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9120" y="7109460"/>
          <a:ext cx="449619" cy="693480"/>
        </a:xfrm>
        <a:prstGeom prst="rect">
          <a:avLst/>
        </a:prstGeom>
      </xdr:spPr>
    </xdr:pic>
    <xdr:clientData/>
  </xdr:oneCellAnchor>
  <xdr:oneCellAnchor>
    <xdr:from>
      <xdr:col>3</xdr:col>
      <xdr:colOff>167640</xdr:colOff>
      <xdr:row>48</xdr:row>
      <xdr:rowOff>15240</xdr:rowOff>
    </xdr:from>
    <xdr:ext cx="449619" cy="670618"/>
    <xdr:pic>
      <xdr:nvPicPr>
        <xdr:cNvPr id="12" name="Рисунок 11" descr="Вырезка экрана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6440" y="8823960"/>
          <a:ext cx="449619" cy="670618"/>
        </a:xfrm>
        <a:prstGeom prst="rect">
          <a:avLst/>
        </a:prstGeom>
      </xdr:spPr>
    </xdr:pic>
    <xdr:clientData/>
  </xdr:oneCellAnchor>
  <xdr:twoCellAnchor editAs="oneCell">
    <xdr:from>
      <xdr:col>0</xdr:col>
      <xdr:colOff>144781</xdr:colOff>
      <xdr:row>75</xdr:row>
      <xdr:rowOff>129541</xdr:rowOff>
    </xdr:from>
    <xdr:to>
      <xdr:col>4</xdr:col>
      <xdr:colOff>601981</xdr:colOff>
      <xdr:row>78</xdr:row>
      <xdr:rowOff>89945</xdr:rowOff>
    </xdr:to>
    <xdr:pic>
      <xdr:nvPicPr>
        <xdr:cNvPr id="13" name="Рисунок 12" descr="Вырезка экрана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1" y="13876021"/>
          <a:ext cx="2895600" cy="509044"/>
        </a:xfrm>
        <a:prstGeom prst="rect">
          <a:avLst/>
        </a:prstGeom>
      </xdr:spPr>
    </xdr:pic>
    <xdr:clientData/>
  </xdr:twoCellAnchor>
  <xdr:twoCellAnchor editAs="oneCell">
    <xdr:from>
      <xdr:col>0</xdr:col>
      <xdr:colOff>243840</xdr:colOff>
      <xdr:row>79</xdr:row>
      <xdr:rowOff>38100</xdr:rowOff>
    </xdr:from>
    <xdr:to>
      <xdr:col>4</xdr:col>
      <xdr:colOff>563387</xdr:colOff>
      <xdr:row>84</xdr:row>
      <xdr:rowOff>38100</xdr:rowOff>
    </xdr:to>
    <xdr:pic>
      <xdr:nvPicPr>
        <xdr:cNvPr id="14" name="Рисунок 13" descr="Вырезка экрана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" y="14516100"/>
          <a:ext cx="2757947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6</xdr:col>
      <xdr:colOff>396591</xdr:colOff>
      <xdr:row>93</xdr:row>
      <xdr:rowOff>38183</xdr:rowOff>
    </xdr:to>
    <xdr:pic>
      <xdr:nvPicPr>
        <xdr:cNvPr id="15" name="Рисунок 14" descr="Вырезка экрана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123920"/>
          <a:ext cx="4054191" cy="952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4</xdr:col>
      <xdr:colOff>480313</xdr:colOff>
      <xdr:row>98</xdr:row>
      <xdr:rowOff>114373</xdr:rowOff>
    </xdr:to>
    <xdr:pic>
      <xdr:nvPicPr>
        <xdr:cNvPr id="16" name="Рисунок 15" descr="Вырезка экрана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221200"/>
          <a:ext cx="2918713" cy="845893"/>
        </a:xfrm>
        <a:prstGeom prst="rect">
          <a:avLst/>
        </a:prstGeom>
      </xdr:spPr>
    </xdr:pic>
    <xdr:clientData/>
  </xdr:twoCellAnchor>
  <xdr:twoCellAnchor editAs="oneCell">
    <xdr:from>
      <xdr:col>0</xdr:col>
      <xdr:colOff>182880</xdr:colOff>
      <xdr:row>97</xdr:row>
      <xdr:rowOff>160020</xdr:rowOff>
    </xdr:from>
    <xdr:to>
      <xdr:col>3</xdr:col>
      <xdr:colOff>160177</xdr:colOff>
      <xdr:row>104</xdr:row>
      <xdr:rowOff>68683</xdr:rowOff>
    </xdr:to>
    <xdr:pic>
      <xdr:nvPicPr>
        <xdr:cNvPr id="17" name="Рисунок 16" descr="Вырезка экрана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" y="17929860"/>
          <a:ext cx="1806097" cy="11888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121920</xdr:rowOff>
    </xdr:from>
    <xdr:to>
      <xdr:col>5</xdr:col>
      <xdr:colOff>183160</xdr:colOff>
      <xdr:row>109</xdr:row>
      <xdr:rowOff>152482</xdr:rowOff>
    </xdr:to>
    <xdr:pic>
      <xdr:nvPicPr>
        <xdr:cNvPr id="18" name="Рисунок 17" descr="Вырезка экрана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171920"/>
          <a:ext cx="3231160" cy="944962"/>
        </a:xfrm>
        <a:prstGeom prst="rect">
          <a:avLst/>
        </a:prstGeom>
      </xdr:spPr>
    </xdr:pic>
    <xdr:clientData/>
  </xdr:twoCellAnchor>
  <xdr:twoCellAnchor editAs="oneCell">
    <xdr:from>
      <xdr:col>0</xdr:col>
      <xdr:colOff>312420</xdr:colOff>
      <xdr:row>111</xdr:row>
      <xdr:rowOff>76200</xdr:rowOff>
    </xdr:from>
    <xdr:to>
      <xdr:col>4</xdr:col>
      <xdr:colOff>411700</xdr:colOff>
      <xdr:row>112</xdr:row>
      <xdr:rowOff>114319</xdr:rowOff>
    </xdr:to>
    <xdr:pic>
      <xdr:nvPicPr>
        <xdr:cNvPr id="19" name="Рисунок 18" descr="Вырезка экрана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" y="20406360"/>
          <a:ext cx="2537680" cy="2209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9</xdr:col>
      <xdr:colOff>206216</xdr:colOff>
      <xdr:row>130</xdr:row>
      <xdr:rowOff>68855</xdr:rowOff>
    </xdr:to>
    <xdr:pic>
      <xdr:nvPicPr>
        <xdr:cNvPr id="20" name="Рисунок 19" descr="Вырезка экрана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0695920"/>
          <a:ext cx="5494496" cy="31778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8</xdr:col>
      <xdr:colOff>671010</xdr:colOff>
      <xdr:row>149</xdr:row>
      <xdr:rowOff>76492</xdr:rowOff>
    </xdr:to>
    <xdr:pic>
      <xdr:nvPicPr>
        <xdr:cNvPr id="21" name="Рисунок 20" descr="Вырезка экрана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3987760"/>
          <a:ext cx="5197290" cy="33683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7</xdr:col>
      <xdr:colOff>670935</xdr:colOff>
      <xdr:row>159</xdr:row>
      <xdr:rowOff>45867</xdr:rowOff>
    </xdr:to>
    <xdr:pic>
      <xdr:nvPicPr>
        <xdr:cNvPr id="22" name="Рисунок 21" descr="Вырезка экрана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7462480"/>
          <a:ext cx="4328535" cy="16917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6</xdr:col>
      <xdr:colOff>23126</xdr:colOff>
      <xdr:row>162</xdr:row>
      <xdr:rowOff>83859</xdr:rowOff>
    </xdr:to>
    <xdr:pic>
      <xdr:nvPicPr>
        <xdr:cNvPr id="23" name="Рисунок 22" descr="Вырезка экрана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9291280"/>
          <a:ext cx="3071126" cy="44961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62</xdr:row>
      <xdr:rowOff>1</xdr:rowOff>
    </xdr:from>
    <xdr:to>
      <xdr:col>16</xdr:col>
      <xdr:colOff>137559</xdr:colOff>
      <xdr:row>74</xdr:row>
      <xdr:rowOff>137161</xdr:rowOff>
    </xdr:to>
    <xdr:pic>
      <xdr:nvPicPr>
        <xdr:cNvPr id="24" name="Рисунок 23" descr="Вырезка экрана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4840" y="11369041"/>
          <a:ext cx="2575959" cy="23317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68</xdr:row>
      <xdr:rowOff>1</xdr:rowOff>
    </xdr:from>
    <xdr:to>
      <xdr:col>26</xdr:col>
      <xdr:colOff>281940</xdr:colOff>
      <xdr:row>69</xdr:row>
      <xdr:rowOff>147813</xdr:rowOff>
    </xdr:to>
    <xdr:pic>
      <xdr:nvPicPr>
        <xdr:cNvPr id="25" name="Рисунок 24" descr="Вырезка экрана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0840" y="12466321"/>
          <a:ext cx="2720340" cy="330692"/>
        </a:xfrm>
        <a:prstGeom prst="rect">
          <a:avLst/>
        </a:prstGeom>
      </xdr:spPr>
    </xdr:pic>
    <xdr:clientData/>
  </xdr:twoCellAnchor>
  <xdr:twoCellAnchor editAs="oneCell">
    <xdr:from>
      <xdr:col>37</xdr:col>
      <xdr:colOff>7620</xdr:colOff>
      <xdr:row>60</xdr:row>
      <xdr:rowOff>15240</xdr:rowOff>
    </xdr:from>
    <xdr:to>
      <xdr:col>41</xdr:col>
      <xdr:colOff>211</xdr:colOff>
      <xdr:row>62</xdr:row>
      <xdr:rowOff>30</xdr:rowOff>
    </xdr:to>
    <xdr:pic>
      <xdr:nvPicPr>
        <xdr:cNvPr id="26" name="Рисунок 25" descr="Вырезка экрана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2460" y="11018520"/>
          <a:ext cx="2430991" cy="350550"/>
        </a:xfrm>
        <a:prstGeom prst="rect">
          <a:avLst/>
        </a:prstGeom>
      </xdr:spPr>
    </xdr:pic>
    <xdr:clientData/>
  </xdr:twoCellAnchor>
  <xdr:twoCellAnchor editAs="oneCell">
    <xdr:from>
      <xdr:col>14</xdr:col>
      <xdr:colOff>129541</xdr:colOff>
      <xdr:row>87</xdr:row>
      <xdr:rowOff>7621</xdr:rowOff>
    </xdr:from>
    <xdr:to>
      <xdr:col>19</xdr:col>
      <xdr:colOff>205741</xdr:colOff>
      <xdr:row>92</xdr:row>
      <xdr:rowOff>78329</xdr:rowOff>
    </xdr:to>
    <xdr:pic>
      <xdr:nvPicPr>
        <xdr:cNvPr id="27" name="Рисунок 26" descr="Вырезка экрана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3581" y="15948661"/>
          <a:ext cx="3124200" cy="9851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9</xdr:col>
      <xdr:colOff>251940</xdr:colOff>
      <xdr:row>180</xdr:row>
      <xdr:rowOff>175513</xdr:rowOff>
    </xdr:to>
    <xdr:pic>
      <xdr:nvPicPr>
        <xdr:cNvPr id="28" name="Рисунок 27" descr="Вырезка экрана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0205680"/>
          <a:ext cx="5540220" cy="29187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7</xdr:col>
      <xdr:colOff>320385</xdr:colOff>
      <xdr:row>185</xdr:row>
      <xdr:rowOff>137219</xdr:rowOff>
    </xdr:to>
    <xdr:pic>
      <xdr:nvPicPr>
        <xdr:cNvPr id="29" name="Рисунок 28" descr="Вырезка экрана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3314640"/>
          <a:ext cx="3977985" cy="6858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7</xdr:col>
      <xdr:colOff>358488</xdr:colOff>
      <xdr:row>202</xdr:row>
      <xdr:rowOff>76318</xdr:rowOff>
    </xdr:to>
    <xdr:pic>
      <xdr:nvPicPr>
        <xdr:cNvPr id="30" name="Рисунок 29" descr="Вырезка экрана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5692080"/>
          <a:ext cx="4016088" cy="135647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205</xdr:row>
      <xdr:rowOff>0</xdr:rowOff>
    </xdr:from>
    <xdr:to>
      <xdr:col>7</xdr:col>
      <xdr:colOff>281941</xdr:colOff>
      <xdr:row>209</xdr:row>
      <xdr:rowOff>7620</xdr:rowOff>
    </xdr:to>
    <xdr:pic>
      <xdr:nvPicPr>
        <xdr:cNvPr id="31" name="Рисунок 30" descr="Вырезка экрана"/>
        <xdr:cNvPicPr>
          <a:picLocks noChangeAspect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94" b="43610"/>
        <a:stretch/>
      </xdr:blipFill>
      <xdr:spPr>
        <a:xfrm>
          <a:off x="609601" y="37520880"/>
          <a:ext cx="3939540" cy="7391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6</xdr:col>
      <xdr:colOff>579434</xdr:colOff>
      <xdr:row>221</xdr:row>
      <xdr:rowOff>106768</xdr:rowOff>
    </xdr:to>
    <xdr:pic>
      <xdr:nvPicPr>
        <xdr:cNvPr id="32" name="Рисунок 31" descr="Вырезка экрана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9532560"/>
          <a:ext cx="3627434" cy="10211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5</xdr:col>
      <xdr:colOff>91659</xdr:colOff>
      <xdr:row>226</xdr:row>
      <xdr:rowOff>175323</xdr:rowOff>
    </xdr:to>
    <xdr:pic>
      <xdr:nvPicPr>
        <xdr:cNvPr id="33" name="Рисунок 32" descr="Вырезка экрана"/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0812720"/>
          <a:ext cx="2530059" cy="7239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3</xdr:col>
      <xdr:colOff>266829</xdr:colOff>
      <xdr:row>228</xdr:row>
      <xdr:rowOff>45740</xdr:rowOff>
    </xdr:to>
    <xdr:pic>
      <xdr:nvPicPr>
        <xdr:cNvPr id="34" name="Рисунок 33" descr="Вырезка экрана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1544240"/>
          <a:ext cx="1486029" cy="22862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230</xdr:row>
      <xdr:rowOff>0</xdr:rowOff>
    </xdr:from>
    <xdr:to>
      <xdr:col>8</xdr:col>
      <xdr:colOff>693421</xdr:colOff>
      <xdr:row>233</xdr:row>
      <xdr:rowOff>91495</xdr:rowOff>
    </xdr:to>
    <xdr:pic>
      <xdr:nvPicPr>
        <xdr:cNvPr id="35" name="Рисунок 34" descr="Вырезка экрана"/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42092880"/>
          <a:ext cx="5143500" cy="6401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7</xdr:col>
      <xdr:colOff>579487</xdr:colOff>
      <xdr:row>245</xdr:row>
      <xdr:rowOff>106864</xdr:rowOff>
    </xdr:to>
    <xdr:pic>
      <xdr:nvPicPr>
        <xdr:cNvPr id="36" name="Рисунок 35" descr="Вырезка экрана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2824400"/>
          <a:ext cx="4237087" cy="21185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9</xdr:col>
      <xdr:colOff>335767</xdr:colOff>
      <xdr:row>263</xdr:row>
      <xdr:rowOff>122152</xdr:rowOff>
    </xdr:to>
    <xdr:pic>
      <xdr:nvPicPr>
        <xdr:cNvPr id="41" name="Рисунок 40" descr="Вырезка экрана"/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5567600"/>
          <a:ext cx="5624047" cy="26824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3</xdr:col>
      <xdr:colOff>457345</xdr:colOff>
      <xdr:row>272</xdr:row>
      <xdr:rowOff>175402</xdr:rowOff>
    </xdr:to>
    <xdr:pic>
      <xdr:nvPicPr>
        <xdr:cNvPr id="42" name="Рисунок 41" descr="Вырезка экрана"/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8310800"/>
          <a:ext cx="1676545" cy="16384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5</xdr:col>
      <xdr:colOff>106901</xdr:colOff>
      <xdr:row>274</xdr:row>
      <xdr:rowOff>91464</xdr:rowOff>
    </xdr:to>
    <xdr:pic>
      <xdr:nvPicPr>
        <xdr:cNvPr id="43" name="Рисунок 42" descr="Вырезка экрана"/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9956720"/>
          <a:ext cx="2545301" cy="2743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5</xdr:col>
      <xdr:colOff>251693</xdr:colOff>
      <xdr:row>276</xdr:row>
      <xdr:rowOff>106705</xdr:rowOff>
    </xdr:to>
    <xdr:pic>
      <xdr:nvPicPr>
        <xdr:cNvPr id="44" name="Рисунок 43" descr="Вырезка экрана"/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0322480"/>
          <a:ext cx="2690093" cy="28958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277</xdr:row>
      <xdr:rowOff>1</xdr:rowOff>
    </xdr:from>
    <xdr:to>
      <xdr:col>6</xdr:col>
      <xdr:colOff>548641</xdr:colOff>
      <xdr:row>282</xdr:row>
      <xdr:rowOff>43742</xdr:rowOff>
    </xdr:to>
    <xdr:pic>
      <xdr:nvPicPr>
        <xdr:cNvPr id="45" name="Рисунок 44" descr="Вырезка экрана"/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50688241"/>
          <a:ext cx="3596640" cy="95814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283</xdr:row>
      <xdr:rowOff>1</xdr:rowOff>
    </xdr:from>
    <xdr:to>
      <xdr:col>5</xdr:col>
      <xdr:colOff>434341</xdr:colOff>
      <xdr:row>288</xdr:row>
      <xdr:rowOff>2839</xdr:rowOff>
    </xdr:to>
    <xdr:pic>
      <xdr:nvPicPr>
        <xdr:cNvPr id="46" name="Рисунок 45" descr="Вырезка экрана"/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51785521"/>
          <a:ext cx="2872740" cy="917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3</xdr:col>
      <xdr:colOff>350656</xdr:colOff>
      <xdr:row>294</xdr:row>
      <xdr:rowOff>53376</xdr:rowOff>
    </xdr:to>
    <xdr:pic>
      <xdr:nvPicPr>
        <xdr:cNvPr id="47" name="Рисунок 46" descr="Вырезка экрана"/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3583840"/>
          <a:ext cx="1569856" cy="41913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247</xdr:row>
      <xdr:rowOff>0</xdr:rowOff>
    </xdr:from>
    <xdr:to>
      <xdr:col>8</xdr:col>
      <xdr:colOff>144780</xdr:colOff>
      <xdr:row>249</xdr:row>
      <xdr:rowOff>0</xdr:rowOff>
    </xdr:to>
    <xdr:pic>
      <xdr:nvPicPr>
        <xdr:cNvPr id="48" name="Рисунок 47"/>
        <xdr:cNvPicPr/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45201840"/>
          <a:ext cx="1013460" cy="365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2:AS294"/>
  <sheetViews>
    <sheetView topLeftCell="A223" workbookViewId="0">
      <selection activeCell="J238" sqref="J238:J245"/>
    </sheetView>
  </sheetViews>
  <sheetFormatPr defaultRowHeight="14.4" x14ac:dyDescent="0.3"/>
  <cols>
    <col min="8" max="8" width="12.6640625" bestFit="1" customWidth="1"/>
    <col min="9" max="9" width="11.109375" customWidth="1"/>
    <col min="10" max="10" width="12.6640625" bestFit="1" customWidth="1"/>
    <col min="12" max="12" width="12.6640625" bestFit="1" customWidth="1"/>
  </cols>
  <sheetData>
    <row r="2" spans="2:23" x14ac:dyDescent="0.3">
      <c r="R2" t="s">
        <v>0</v>
      </c>
      <c r="S2">
        <v>1</v>
      </c>
      <c r="W2" t="s">
        <v>93</v>
      </c>
    </row>
    <row r="3" spans="2:23" x14ac:dyDescent="0.3">
      <c r="R3" t="s">
        <v>1</v>
      </c>
      <c r="S3">
        <v>0.03</v>
      </c>
    </row>
    <row r="4" spans="2:23" x14ac:dyDescent="0.3">
      <c r="D4" t="s">
        <v>4</v>
      </c>
      <c r="E4" t="s">
        <v>5</v>
      </c>
      <c r="R4" t="s">
        <v>2</v>
      </c>
      <c r="S4">
        <v>0.1</v>
      </c>
      <c r="U4" t="s">
        <v>3</v>
      </c>
    </row>
    <row r="5" spans="2:23" x14ac:dyDescent="0.3">
      <c r="C5">
        <v>1</v>
      </c>
      <c r="D5" s="12">
        <v>0</v>
      </c>
      <c r="E5" s="14">
        <v>0</v>
      </c>
    </row>
    <row r="6" spans="2:23" x14ac:dyDescent="0.3">
      <c r="C6">
        <v>2</v>
      </c>
      <c r="D6" s="15">
        <v>1</v>
      </c>
      <c r="E6" s="16">
        <v>0</v>
      </c>
    </row>
    <row r="7" spans="2:23" x14ac:dyDescent="0.3">
      <c r="C7">
        <v>3</v>
      </c>
      <c r="D7" s="15">
        <v>1</v>
      </c>
      <c r="E7" s="16">
        <v>1</v>
      </c>
    </row>
    <row r="8" spans="2:23" x14ac:dyDescent="0.3">
      <c r="C8">
        <v>4</v>
      </c>
      <c r="D8" s="17">
        <v>0</v>
      </c>
      <c r="E8" s="19">
        <v>1</v>
      </c>
    </row>
    <row r="10" spans="2:23" x14ac:dyDescent="0.3">
      <c r="B10" t="s">
        <v>32</v>
      </c>
      <c r="F10" t="s">
        <v>4</v>
      </c>
      <c r="G10" t="s">
        <v>5</v>
      </c>
    </row>
    <row r="11" spans="2:23" x14ac:dyDescent="0.3">
      <c r="E11">
        <v>1</v>
      </c>
      <c r="F11" s="12">
        <f t="shared" ref="F11:G13" si="0">D5</f>
        <v>0</v>
      </c>
      <c r="G11" s="14">
        <f t="shared" si="0"/>
        <v>0</v>
      </c>
    </row>
    <row r="12" spans="2:23" x14ac:dyDescent="0.3">
      <c r="B12" t="s">
        <v>6</v>
      </c>
      <c r="E12">
        <v>2</v>
      </c>
      <c r="F12" s="15">
        <f t="shared" si="0"/>
        <v>1</v>
      </c>
      <c r="G12" s="16">
        <f t="shared" si="0"/>
        <v>0</v>
      </c>
    </row>
    <row r="13" spans="2:23" x14ac:dyDescent="0.3">
      <c r="B13" s="4"/>
      <c r="C13" s="4"/>
      <c r="D13" s="4"/>
      <c r="E13">
        <v>3</v>
      </c>
      <c r="F13" s="17">
        <f t="shared" si="0"/>
        <v>1</v>
      </c>
      <c r="G13" s="19">
        <f t="shared" si="0"/>
        <v>1</v>
      </c>
      <c r="K13" s="4"/>
      <c r="L13" s="4"/>
      <c r="M13" s="4"/>
      <c r="N13" s="4"/>
    </row>
    <row r="14" spans="2:23" ht="15" thickBot="1" x14ac:dyDescent="0.35">
      <c r="B14" t="s">
        <v>7</v>
      </c>
      <c r="C14" t="s">
        <v>8</v>
      </c>
      <c r="E14" t="s">
        <v>9</v>
      </c>
      <c r="J14" t="s">
        <v>10</v>
      </c>
      <c r="K14" s="4"/>
      <c r="N14" t="s">
        <v>11</v>
      </c>
      <c r="P14" t="s">
        <v>12</v>
      </c>
      <c r="R14" s="22" t="s">
        <v>29</v>
      </c>
      <c r="U14" t="s">
        <v>30</v>
      </c>
    </row>
    <row r="15" spans="2:23" x14ac:dyDescent="0.3">
      <c r="B15" s="5" t="s">
        <v>13</v>
      </c>
      <c r="C15" s="4">
        <f>1/3</f>
        <v>0.33333333333333331</v>
      </c>
      <c r="D15" s="4"/>
      <c r="E15" s="6">
        <v>-1</v>
      </c>
      <c r="F15" s="7">
        <v>1</v>
      </c>
      <c r="G15" s="1">
        <v>0</v>
      </c>
      <c r="H15" s="8"/>
      <c r="J15" s="6">
        <f t="array" ref="J15:K16">MMULT(E15:G16,F11:G13)</f>
        <v>1</v>
      </c>
      <c r="K15" s="1">
        <v>0</v>
      </c>
      <c r="L15" s="8"/>
      <c r="N15">
        <f>MDETERM(J15:K16)</f>
        <v>1</v>
      </c>
      <c r="P15">
        <f>N15*0.5</f>
        <v>0.5</v>
      </c>
      <c r="Q15" t="s">
        <v>31</v>
      </c>
      <c r="U15" s="11">
        <f t="array" ref="U15:V16">MINVERSE(J15:K16)</f>
        <v>1</v>
      </c>
      <c r="V15" s="11">
        <v>0</v>
      </c>
    </row>
    <row r="16" spans="2:23" ht="15" thickBot="1" x14ac:dyDescent="0.35">
      <c r="B16" s="5" t="s">
        <v>14</v>
      </c>
      <c r="C16" s="4">
        <f>1/3</f>
        <v>0.33333333333333331</v>
      </c>
      <c r="D16" s="4"/>
      <c r="E16" s="9">
        <v>-1</v>
      </c>
      <c r="F16" s="10">
        <v>0</v>
      </c>
      <c r="G16" s="3">
        <v>1</v>
      </c>
      <c r="H16" s="8"/>
      <c r="J16" s="9">
        <v>1</v>
      </c>
      <c r="K16" s="3">
        <v>1</v>
      </c>
      <c r="L16" s="8"/>
      <c r="U16" s="11">
        <v>-1</v>
      </c>
      <c r="V16" s="11">
        <v>1</v>
      </c>
    </row>
    <row r="17" spans="2:28" x14ac:dyDescent="0.3">
      <c r="B17" s="5"/>
      <c r="C17" s="4"/>
      <c r="D17" s="4"/>
      <c r="E17" s="8"/>
      <c r="F17" s="8"/>
      <c r="G17" s="8"/>
      <c r="H17" s="8"/>
      <c r="J17" s="8"/>
      <c r="K17" s="8"/>
      <c r="L17" s="8"/>
    </row>
    <row r="19" spans="2:28" x14ac:dyDescent="0.3">
      <c r="E19" s="4" t="s">
        <v>15</v>
      </c>
      <c r="F19" s="4" t="s">
        <v>16</v>
      </c>
      <c r="G19" s="4" t="s">
        <v>17</v>
      </c>
      <c r="H19" s="4"/>
      <c r="I19" s="4" t="s">
        <v>18</v>
      </c>
      <c r="J19" s="4"/>
      <c r="K19" s="4" t="s">
        <v>19</v>
      </c>
      <c r="L19" s="4"/>
      <c r="O19" t="s">
        <v>20</v>
      </c>
    </row>
    <row r="20" spans="2:28" x14ac:dyDescent="0.3">
      <c r="E20" s="4">
        <f>1-C15-C16</f>
        <v>0.33333333333333343</v>
      </c>
      <c r="F20" s="4">
        <f>C15</f>
        <v>0.33333333333333331</v>
      </c>
      <c r="G20" s="4">
        <f>C16</f>
        <v>0.33333333333333331</v>
      </c>
      <c r="H20" s="4"/>
      <c r="I20">
        <f t="array" ref="I20:I22">TRANSPOSE(E20:G20)</f>
        <v>0.33333333333333343</v>
      </c>
      <c r="K20">
        <f t="array" ref="K20:M22">MMULT(I20:I22,E20:G20)</f>
        <v>0.11111111111111117</v>
      </c>
      <c r="L20">
        <v>0.11111111111111113</v>
      </c>
      <c r="M20">
        <v>0.11111111111111113</v>
      </c>
      <c r="O20">
        <f>K20*$P$15</f>
        <v>5.5555555555555587E-2</v>
      </c>
      <c r="P20">
        <f t="shared" ref="P20:Q20" si="1">L20*$P$15</f>
        <v>5.5555555555555566E-2</v>
      </c>
      <c r="Q20">
        <f t="shared" si="1"/>
        <v>5.5555555555555566E-2</v>
      </c>
    </row>
    <row r="21" spans="2:28" x14ac:dyDescent="0.3">
      <c r="E21" t="s">
        <v>21</v>
      </c>
      <c r="I21">
        <v>0.33333333333333331</v>
      </c>
      <c r="K21">
        <v>0.11111111111111113</v>
      </c>
      <c r="L21">
        <v>0.1111111111111111</v>
      </c>
      <c r="M21">
        <v>0.1111111111111111</v>
      </c>
      <c r="O21">
        <f t="shared" ref="O21:O22" si="2">K21*$P$15</f>
        <v>5.5555555555555566E-2</v>
      </c>
      <c r="P21">
        <f t="shared" ref="P21:P22" si="3">L21*$P$15</f>
        <v>5.5555555555555552E-2</v>
      </c>
      <c r="Q21">
        <f t="shared" ref="Q21:Q22" si="4">M21*$P$15</f>
        <v>5.5555555555555552E-2</v>
      </c>
    </row>
    <row r="22" spans="2:28" x14ac:dyDescent="0.3">
      <c r="E22" s="4">
        <f>SUM(E20:G20)</f>
        <v>1</v>
      </c>
      <c r="I22">
        <v>0.33333333333333331</v>
      </c>
      <c r="K22">
        <v>0.11111111111111113</v>
      </c>
      <c r="L22">
        <v>0.1111111111111111</v>
      </c>
      <c r="M22">
        <v>0.1111111111111111</v>
      </c>
      <c r="O22">
        <f t="shared" si="2"/>
        <v>5.5555555555555566E-2</v>
      </c>
      <c r="P22">
        <f t="shared" si="3"/>
        <v>5.5555555555555552E-2</v>
      </c>
      <c r="Q22">
        <f t="shared" si="4"/>
        <v>5.5555555555555552E-2</v>
      </c>
    </row>
    <row r="23" spans="2:28" x14ac:dyDescent="0.3">
      <c r="O23" t="s">
        <v>89</v>
      </c>
      <c r="V23" t="s">
        <v>26</v>
      </c>
    </row>
    <row r="24" spans="2:28" x14ac:dyDescent="0.3">
      <c r="E24" s="11">
        <f t="array" ref="E24:E25">MMULT($U$15:$V$16,E15:E16)</f>
        <v>-1</v>
      </c>
      <c r="F24" s="11">
        <f t="array" ref="F24:F25">MMULT($U$15:$V$16,F15:F16)</f>
        <v>1</v>
      </c>
      <c r="G24" s="11">
        <f t="array" ref="G24:G25">MMULT($U$15:$V$16,G15:G16)</f>
        <v>0</v>
      </c>
      <c r="O24" s="12">
        <f t="array" ref="O24:P26">TRANSPOSE(E24:G25)</f>
        <v>-1</v>
      </c>
      <c r="P24" s="14">
        <v>0</v>
      </c>
      <c r="R24" s="12">
        <f t="array" ref="R24:T26">MMULT(O24:P26,E24:G25)</f>
        <v>1</v>
      </c>
      <c r="S24" s="13">
        <v>-1</v>
      </c>
      <c r="T24" s="14">
        <v>0</v>
      </c>
      <c r="V24" s="12">
        <f>R24*$P$15</f>
        <v>0.5</v>
      </c>
      <c r="W24" s="13">
        <f t="shared" ref="W24:X24" si="5">S24*$P$15</f>
        <v>-0.5</v>
      </c>
      <c r="X24" s="14">
        <f t="shared" si="5"/>
        <v>0</v>
      </c>
    </row>
    <row r="25" spans="2:28" x14ac:dyDescent="0.3">
      <c r="D25" s="4"/>
      <c r="E25" s="11">
        <v>0</v>
      </c>
      <c r="F25" s="11">
        <v>-1</v>
      </c>
      <c r="G25" s="11">
        <v>1</v>
      </c>
      <c r="O25" s="15">
        <v>1</v>
      </c>
      <c r="P25" s="16">
        <v>-1</v>
      </c>
      <c r="R25" s="15">
        <v>-1</v>
      </c>
      <c r="S25" s="8">
        <v>2</v>
      </c>
      <c r="T25" s="16">
        <v>-1</v>
      </c>
      <c r="V25" s="15">
        <f t="shared" ref="V25:V26" si="6">R25*$P$15</f>
        <v>-0.5</v>
      </c>
      <c r="W25" s="8">
        <f t="shared" ref="W25:W26" si="7">S25*$P$15</f>
        <v>1</v>
      </c>
      <c r="X25" s="16">
        <f t="shared" ref="X25:X26" si="8">T25*$P$15</f>
        <v>-0.5</v>
      </c>
    </row>
    <row r="26" spans="2:28" x14ac:dyDescent="0.3">
      <c r="D26" s="4"/>
      <c r="O26" s="17">
        <v>0</v>
      </c>
      <c r="P26" s="19">
        <v>1</v>
      </c>
      <c r="R26" s="17">
        <v>0</v>
      </c>
      <c r="S26" s="18">
        <v>-1</v>
      </c>
      <c r="T26" s="19">
        <v>1</v>
      </c>
      <c r="V26" s="17">
        <f t="shared" si="6"/>
        <v>0</v>
      </c>
      <c r="W26" s="18">
        <f t="shared" si="7"/>
        <v>-0.5</v>
      </c>
      <c r="X26" s="19">
        <f t="shared" si="8"/>
        <v>0.5</v>
      </c>
    </row>
    <row r="27" spans="2:28" x14ac:dyDescent="0.3">
      <c r="D27" s="4"/>
      <c r="E27" t="s">
        <v>22</v>
      </c>
      <c r="L27" t="s">
        <v>23</v>
      </c>
      <c r="P27" t="s">
        <v>24</v>
      </c>
      <c r="W27" t="s">
        <v>25</v>
      </c>
    </row>
    <row r="28" spans="2:28" x14ac:dyDescent="0.3">
      <c r="E28" s="12">
        <f>E24</f>
        <v>-1</v>
      </c>
      <c r="F28" s="13">
        <v>0</v>
      </c>
      <c r="G28" s="13">
        <f>F24</f>
        <v>1</v>
      </c>
      <c r="H28" s="13">
        <v>0</v>
      </c>
      <c r="I28" s="13">
        <f>G24</f>
        <v>0</v>
      </c>
      <c r="J28" s="14">
        <v>0</v>
      </c>
      <c r="L28" s="12">
        <f t="array" ref="L28:N33">TRANSPOSE(E28:J30)</f>
        <v>-1</v>
      </c>
      <c r="M28" s="13">
        <v>0</v>
      </c>
      <c r="N28" s="14">
        <v>0</v>
      </c>
      <c r="P28" s="12">
        <f t="array" ref="P28:U33">MMULT(L28:N33,E28:J30)</f>
        <v>1</v>
      </c>
      <c r="Q28" s="13">
        <v>0</v>
      </c>
      <c r="R28" s="13">
        <v>-1</v>
      </c>
      <c r="S28" s="13">
        <v>0</v>
      </c>
      <c r="T28" s="13">
        <v>0</v>
      </c>
      <c r="U28" s="14">
        <v>0</v>
      </c>
      <c r="W28" s="12">
        <f>P28*$P$15</f>
        <v>0.5</v>
      </c>
      <c r="X28" s="13">
        <f t="shared" ref="X28:AB28" si="9">Q28*$P$15</f>
        <v>0</v>
      </c>
      <c r="Y28" s="13">
        <f t="shared" si="9"/>
        <v>-0.5</v>
      </c>
      <c r="Z28" s="13">
        <f t="shared" si="9"/>
        <v>0</v>
      </c>
      <c r="AA28" s="13">
        <f t="shared" si="9"/>
        <v>0</v>
      </c>
      <c r="AB28" s="14">
        <f t="shared" si="9"/>
        <v>0</v>
      </c>
    </row>
    <row r="29" spans="2:28" x14ac:dyDescent="0.3">
      <c r="E29" s="15">
        <v>0</v>
      </c>
      <c r="F29" s="8">
        <f>E25</f>
        <v>0</v>
      </c>
      <c r="G29" s="8">
        <v>0</v>
      </c>
      <c r="H29" s="8">
        <f>F25</f>
        <v>-1</v>
      </c>
      <c r="I29" s="8">
        <v>0</v>
      </c>
      <c r="J29" s="16">
        <f>G25</f>
        <v>1</v>
      </c>
      <c r="L29" s="15">
        <v>0</v>
      </c>
      <c r="M29" s="8">
        <v>0</v>
      </c>
      <c r="N29" s="16">
        <v>-1</v>
      </c>
      <c r="P29" s="15">
        <v>0</v>
      </c>
      <c r="Q29" s="8">
        <v>1</v>
      </c>
      <c r="R29" s="8">
        <v>1</v>
      </c>
      <c r="S29" s="8">
        <v>-1</v>
      </c>
      <c r="T29" s="8">
        <v>-1</v>
      </c>
      <c r="U29" s="16">
        <v>0</v>
      </c>
      <c r="W29" s="15">
        <f t="shared" ref="W29:W33" si="10">P29*$P$15</f>
        <v>0</v>
      </c>
      <c r="X29" s="8">
        <f t="shared" ref="X29:X33" si="11">Q29*$P$15</f>
        <v>0.5</v>
      </c>
      <c r="Y29" s="8">
        <f t="shared" ref="Y29:Y33" si="12">R29*$P$15</f>
        <v>0.5</v>
      </c>
      <c r="Z29" s="8">
        <f t="shared" ref="Z29:Z33" si="13">S29*$P$15</f>
        <v>-0.5</v>
      </c>
      <c r="AA29" s="8">
        <f t="shared" ref="AA29:AA33" si="14">T29*$P$15</f>
        <v>-0.5</v>
      </c>
      <c r="AB29" s="16">
        <f t="shared" ref="AB29:AB33" si="15">U29*$P$15</f>
        <v>0</v>
      </c>
    </row>
    <row r="30" spans="2:28" x14ac:dyDescent="0.3">
      <c r="E30" s="17">
        <f>E25</f>
        <v>0</v>
      </c>
      <c r="F30" s="18">
        <f>E24</f>
        <v>-1</v>
      </c>
      <c r="G30" s="18">
        <f>F25</f>
        <v>-1</v>
      </c>
      <c r="H30" s="18">
        <f>F24</f>
        <v>1</v>
      </c>
      <c r="I30" s="18">
        <f>G25</f>
        <v>1</v>
      </c>
      <c r="J30" s="19">
        <f>G24</f>
        <v>0</v>
      </c>
      <c r="L30" s="15">
        <v>1</v>
      </c>
      <c r="M30" s="8">
        <v>0</v>
      </c>
      <c r="N30" s="16">
        <v>-1</v>
      </c>
      <c r="P30" s="15">
        <v>-1</v>
      </c>
      <c r="Q30" s="8">
        <v>1</v>
      </c>
      <c r="R30" s="8">
        <v>2</v>
      </c>
      <c r="S30" s="8">
        <v>-1</v>
      </c>
      <c r="T30" s="8">
        <v>-1</v>
      </c>
      <c r="U30" s="16">
        <v>0</v>
      </c>
      <c r="W30" s="15">
        <f t="shared" si="10"/>
        <v>-0.5</v>
      </c>
      <c r="X30" s="8">
        <f t="shared" si="11"/>
        <v>0.5</v>
      </c>
      <c r="Y30" s="8">
        <f t="shared" si="12"/>
        <v>1</v>
      </c>
      <c r="Z30" s="8">
        <f t="shared" si="13"/>
        <v>-0.5</v>
      </c>
      <c r="AA30" s="8">
        <f t="shared" si="14"/>
        <v>-0.5</v>
      </c>
      <c r="AB30" s="16">
        <f t="shared" si="15"/>
        <v>0</v>
      </c>
    </row>
    <row r="31" spans="2:28" x14ac:dyDescent="0.3">
      <c r="L31" s="15">
        <v>0</v>
      </c>
      <c r="M31" s="8">
        <v>-1</v>
      </c>
      <c r="N31" s="16">
        <v>1</v>
      </c>
      <c r="P31" s="15">
        <v>0</v>
      </c>
      <c r="Q31" s="8">
        <v>-1</v>
      </c>
      <c r="R31" s="8">
        <v>-1</v>
      </c>
      <c r="S31" s="8">
        <v>2</v>
      </c>
      <c r="T31" s="8">
        <v>1</v>
      </c>
      <c r="U31" s="16">
        <v>-1</v>
      </c>
      <c r="W31" s="15">
        <f t="shared" si="10"/>
        <v>0</v>
      </c>
      <c r="X31" s="8">
        <f t="shared" si="11"/>
        <v>-0.5</v>
      </c>
      <c r="Y31" s="8">
        <f t="shared" si="12"/>
        <v>-0.5</v>
      </c>
      <c r="Z31" s="8">
        <f t="shared" si="13"/>
        <v>1</v>
      </c>
      <c r="AA31" s="8">
        <f t="shared" si="14"/>
        <v>0.5</v>
      </c>
      <c r="AB31" s="16">
        <f t="shared" si="15"/>
        <v>-0.5</v>
      </c>
    </row>
    <row r="32" spans="2:28" x14ac:dyDescent="0.3">
      <c r="L32" s="15">
        <v>0</v>
      </c>
      <c r="M32" s="8">
        <v>0</v>
      </c>
      <c r="N32" s="16">
        <v>1</v>
      </c>
      <c r="P32" s="15">
        <v>0</v>
      </c>
      <c r="Q32" s="8">
        <v>-1</v>
      </c>
      <c r="R32" s="8">
        <v>-1</v>
      </c>
      <c r="S32" s="8">
        <v>1</v>
      </c>
      <c r="T32" s="8">
        <v>1</v>
      </c>
      <c r="U32" s="16">
        <v>0</v>
      </c>
      <c r="W32" s="15">
        <f t="shared" si="10"/>
        <v>0</v>
      </c>
      <c r="X32" s="8">
        <f t="shared" si="11"/>
        <v>-0.5</v>
      </c>
      <c r="Y32" s="8">
        <f t="shared" si="12"/>
        <v>-0.5</v>
      </c>
      <c r="Z32" s="8">
        <f t="shared" si="13"/>
        <v>0.5</v>
      </c>
      <c r="AA32" s="8">
        <f t="shared" si="14"/>
        <v>0.5</v>
      </c>
      <c r="AB32" s="16">
        <f t="shared" si="15"/>
        <v>0</v>
      </c>
    </row>
    <row r="33" spans="2:28" x14ac:dyDescent="0.3">
      <c r="L33" s="17">
        <v>0</v>
      </c>
      <c r="M33" s="18">
        <v>1</v>
      </c>
      <c r="N33" s="19">
        <v>0</v>
      </c>
      <c r="P33" s="17">
        <v>0</v>
      </c>
      <c r="Q33" s="18">
        <v>0</v>
      </c>
      <c r="R33" s="18">
        <v>0</v>
      </c>
      <c r="S33" s="18">
        <v>-1</v>
      </c>
      <c r="T33" s="18">
        <v>0</v>
      </c>
      <c r="U33" s="19">
        <v>1</v>
      </c>
      <c r="W33" s="17">
        <f t="shared" si="10"/>
        <v>0</v>
      </c>
      <c r="X33" s="18">
        <f t="shared" si="11"/>
        <v>0</v>
      </c>
      <c r="Y33" s="18">
        <f t="shared" si="12"/>
        <v>0</v>
      </c>
      <c r="Z33" s="18">
        <f t="shared" si="13"/>
        <v>-0.5</v>
      </c>
      <c r="AA33" s="18">
        <f t="shared" si="14"/>
        <v>0</v>
      </c>
      <c r="AB33" s="19">
        <f t="shared" si="15"/>
        <v>0.5</v>
      </c>
    </row>
    <row r="36" spans="2:28" x14ac:dyDescent="0.3">
      <c r="B36" t="s">
        <v>33</v>
      </c>
      <c r="F36" t="s">
        <v>4</v>
      </c>
      <c r="G36" t="s">
        <v>5</v>
      </c>
    </row>
    <row r="37" spans="2:28" x14ac:dyDescent="0.3">
      <c r="E37">
        <v>1</v>
      </c>
      <c r="F37" s="12">
        <f>D5</f>
        <v>0</v>
      </c>
      <c r="G37" s="12">
        <f>E5</f>
        <v>0</v>
      </c>
    </row>
    <row r="38" spans="2:28" x14ac:dyDescent="0.3">
      <c r="B38" t="s">
        <v>6</v>
      </c>
      <c r="E38">
        <v>3</v>
      </c>
      <c r="F38" s="15">
        <f>D7</f>
        <v>1</v>
      </c>
      <c r="G38" s="15">
        <f>E7</f>
        <v>1</v>
      </c>
    </row>
    <row r="39" spans="2:28" x14ac:dyDescent="0.3">
      <c r="B39" s="4"/>
      <c r="C39" s="4"/>
      <c r="D39" s="4"/>
      <c r="E39">
        <v>4</v>
      </c>
      <c r="F39" s="17">
        <f>D8</f>
        <v>0</v>
      </c>
      <c r="G39" s="17">
        <f>E8</f>
        <v>1</v>
      </c>
      <c r="K39" s="4"/>
      <c r="L39" s="4"/>
      <c r="M39" s="4"/>
      <c r="N39" s="4"/>
    </row>
    <row r="40" spans="2:28" ht="15" thickBot="1" x14ac:dyDescent="0.35">
      <c r="B40" t="s">
        <v>7</v>
      </c>
      <c r="C40" t="s">
        <v>8</v>
      </c>
      <c r="E40" t="s">
        <v>9</v>
      </c>
      <c r="J40" t="s">
        <v>10</v>
      </c>
      <c r="K40" s="4"/>
      <c r="N40" t="s">
        <v>11</v>
      </c>
      <c r="P40" t="s">
        <v>12</v>
      </c>
      <c r="R40" s="22" t="s">
        <v>29</v>
      </c>
      <c r="U40" t="s">
        <v>30</v>
      </c>
    </row>
    <row r="41" spans="2:28" x14ac:dyDescent="0.3">
      <c r="B41" s="5" t="s">
        <v>13</v>
      </c>
      <c r="C41" s="4">
        <f>1/3</f>
        <v>0.33333333333333331</v>
      </c>
      <c r="D41" s="4"/>
      <c r="E41" s="6">
        <v>-1</v>
      </c>
      <c r="F41" s="7">
        <v>1</v>
      </c>
      <c r="G41" s="1">
        <v>0</v>
      </c>
      <c r="H41" s="8"/>
      <c r="J41" s="6">
        <f t="array" ref="J41:K42">MMULT(E41:G42,F37:G39)</f>
        <v>1</v>
      </c>
      <c r="K41" s="1">
        <v>1</v>
      </c>
      <c r="L41" s="8"/>
      <c r="N41">
        <f>MDETERM(J41:K42)</f>
        <v>1</v>
      </c>
      <c r="P41">
        <f>N41*0.5</f>
        <v>0.5</v>
      </c>
      <c r="Q41" t="s">
        <v>31</v>
      </c>
      <c r="U41" s="11">
        <f t="array" ref="U41:V42">MINVERSE(J41:K42)</f>
        <v>1</v>
      </c>
      <c r="V41" s="11">
        <v>-1</v>
      </c>
    </row>
    <row r="42" spans="2:28" ht="15" thickBot="1" x14ac:dyDescent="0.35">
      <c r="B42" s="5" t="s">
        <v>14</v>
      </c>
      <c r="C42" s="4">
        <f>1/3</f>
        <v>0.33333333333333331</v>
      </c>
      <c r="D42" s="4"/>
      <c r="E42" s="9">
        <v>-1</v>
      </c>
      <c r="F42" s="10">
        <v>0</v>
      </c>
      <c r="G42" s="3">
        <v>1</v>
      </c>
      <c r="H42" s="8"/>
      <c r="J42" s="9">
        <v>0</v>
      </c>
      <c r="K42" s="3">
        <v>1</v>
      </c>
      <c r="L42" s="8"/>
      <c r="U42" s="11">
        <v>0</v>
      </c>
      <c r="V42" s="11">
        <v>1</v>
      </c>
    </row>
    <row r="43" spans="2:28" x14ac:dyDescent="0.3">
      <c r="B43" s="5"/>
      <c r="C43" s="4"/>
      <c r="D43" s="4"/>
      <c r="E43" s="8"/>
      <c r="F43" s="8"/>
      <c r="G43" s="8"/>
      <c r="H43" s="8"/>
      <c r="J43" s="8"/>
      <c r="K43" s="8"/>
      <c r="L43" s="8"/>
    </row>
    <row r="45" spans="2:28" x14ac:dyDescent="0.3">
      <c r="E45" s="4" t="s">
        <v>15</v>
      </c>
      <c r="F45" s="4" t="s">
        <v>16</v>
      </c>
      <c r="G45" s="4" t="s">
        <v>17</v>
      </c>
      <c r="H45" s="4"/>
      <c r="I45" s="4" t="s">
        <v>18</v>
      </c>
      <c r="J45" s="4"/>
      <c r="K45" s="4" t="s">
        <v>19</v>
      </c>
      <c r="L45" s="4"/>
      <c r="O45" t="s">
        <v>20</v>
      </c>
    </row>
    <row r="46" spans="2:28" x14ac:dyDescent="0.3">
      <c r="E46" s="4">
        <f>1-C41-C42</f>
        <v>0.33333333333333343</v>
      </c>
      <c r="F46" s="4">
        <f>C41</f>
        <v>0.33333333333333331</v>
      </c>
      <c r="G46" s="4">
        <f>C42</f>
        <v>0.33333333333333331</v>
      </c>
      <c r="H46" s="4"/>
      <c r="I46">
        <f t="array" ref="I46:I48">TRANSPOSE(E46:G46)</f>
        <v>0.33333333333333343</v>
      </c>
      <c r="K46">
        <f t="array" ref="K46:M48">MMULT(I46:I48,E46:G46)</f>
        <v>0.11111111111111117</v>
      </c>
      <c r="L46">
        <v>0.11111111111111113</v>
      </c>
      <c r="M46">
        <v>0.11111111111111113</v>
      </c>
      <c r="O46">
        <f>K46*$P$15</f>
        <v>5.5555555555555587E-2</v>
      </c>
      <c r="P46">
        <f t="shared" ref="P46:P48" si="16">L46*$P$15</f>
        <v>5.5555555555555566E-2</v>
      </c>
      <c r="Q46">
        <f t="shared" ref="Q46:Q48" si="17">M46*$P$15</f>
        <v>5.5555555555555566E-2</v>
      </c>
    </row>
    <row r="47" spans="2:28" x14ac:dyDescent="0.3">
      <c r="E47" t="s">
        <v>21</v>
      </c>
      <c r="I47">
        <v>0.33333333333333331</v>
      </c>
      <c r="K47">
        <v>0.11111111111111113</v>
      </c>
      <c r="L47">
        <v>0.1111111111111111</v>
      </c>
      <c r="M47">
        <v>0.1111111111111111</v>
      </c>
      <c r="O47">
        <f t="shared" ref="O47:O48" si="18">K47*$P$15</f>
        <v>5.5555555555555566E-2</v>
      </c>
      <c r="P47">
        <f t="shared" si="16"/>
        <v>5.5555555555555552E-2</v>
      </c>
      <c r="Q47">
        <f t="shared" si="17"/>
        <v>5.5555555555555552E-2</v>
      </c>
    </row>
    <row r="48" spans="2:28" x14ac:dyDescent="0.3">
      <c r="E48" s="4">
        <f>SUM(E46:G46)</f>
        <v>1</v>
      </c>
      <c r="I48">
        <v>0.33333333333333331</v>
      </c>
      <c r="K48">
        <v>0.11111111111111113</v>
      </c>
      <c r="L48">
        <v>0.1111111111111111</v>
      </c>
      <c r="M48">
        <v>0.1111111111111111</v>
      </c>
      <c r="O48">
        <f t="shared" si="18"/>
        <v>5.5555555555555566E-2</v>
      </c>
      <c r="P48">
        <f t="shared" si="16"/>
        <v>5.5555555555555552E-2</v>
      </c>
      <c r="Q48">
        <f t="shared" si="17"/>
        <v>5.5555555555555552E-2</v>
      </c>
    </row>
    <row r="49" spans="1:45" x14ac:dyDescent="0.3">
      <c r="O49" t="s">
        <v>89</v>
      </c>
      <c r="V49" t="s">
        <v>27</v>
      </c>
    </row>
    <row r="50" spans="1:45" x14ac:dyDescent="0.3">
      <c r="E50" s="11">
        <f t="array" ref="E50:E51">MMULT($U$41:$V$42,E41:E42)</f>
        <v>0</v>
      </c>
      <c r="F50" s="11">
        <f t="array" ref="F50:F51">MMULT($U$41:$V$42,F41:F42)</f>
        <v>1</v>
      </c>
      <c r="G50" s="11">
        <f t="array" ref="G50:G51">MMULT($U$41:$V$42,G41:G42)</f>
        <v>-1</v>
      </c>
      <c r="O50" s="12">
        <f t="array" ref="O50:P52">TRANSPOSE(E50:G51)</f>
        <v>0</v>
      </c>
      <c r="P50" s="14">
        <v>-1</v>
      </c>
      <c r="R50" s="12">
        <f t="array" ref="R50:T52">MMULT(O50:P52,E50:G51)</f>
        <v>1</v>
      </c>
      <c r="S50" s="13">
        <v>0</v>
      </c>
      <c r="T50" s="14">
        <v>-1</v>
      </c>
      <c r="V50" s="12">
        <f>R50*$P$41</f>
        <v>0.5</v>
      </c>
      <c r="W50" s="13">
        <f t="shared" ref="W50:X50" si="19">S50*$P$41</f>
        <v>0</v>
      </c>
      <c r="X50" s="14">
        <f t="shared" si="19"/>
        <v>-0.5</v>
      </c>
    </row>
    <row r="51" spans="1:45" x14ac:dyDescent="0.3">
      <c r="D51" s="4"/>
      <c r="E51" s="11">
        <v>-1</v>
      </c>
      <c r="F51" s="11">
        <v>0</v>
      </c>
      <c r="G51" s="11">
        <v>1</v>
      </c>
      <c r="O51" s="15">
        <v>1</v>
      </c>
      <c r="P51" s="16">
        <v>0</v>
      </c>
      <c r="R51" s="15">
        <v>0</v>
      </c>
      <c r="S51" s="8">
        <v>1</v>
      </c>
      <c r="T51" s="16">
        <v>-1</v>
      </c>
      <c r="V51" s="12">
        <f>R51*$P$41</f>
        <v>0</v>
      </c>
      <c r="W51" s="8">
        <f t="shared" ref="W51:W52" si="20">S51*$P$41</f>
        <v>0.5</v>
      </c>
      <c r="X51" s="16">
        <f t="shared" ref="X51:X52" si="21">T51*$P$41</f>
        <v>-0.5</v>
      </c>
    </row>
    <row r="52" spans="1:45" x14ac:dyDescent="0.3">
      <c r="D52" s="4"/>
      <c r="O52" s="17">
        <v>-1</v>
      </c>
      <c r="P52" s="19">
        <v>1</v>
      </c>
      <c r="R52" s="17">
        <v>-1</v>
      </c>
      <c r="S52" s="18">
        <v>-1</v>
      </c>
      <c r="T52" s="19">
        <v>2</v>
      </c>
      <c r="V52" s="17">
        <f t="shared" ref="V52" si="22">R52*$P$41</f>
        <v>-0.5</v>
      </c>
      <c r="W52" s="18">
        <f t="shared" si="20"/>
        <v>-0.5</v>
      </c>
      <c r="X52" s="19">
        <f t="shared" si="21"/>
        <v>1</v>
      </c>
    </row>
    <row r="53" spans="1:45" x14ac:dyDescent="0.3">
      <c r="D53" s="4"/>
      <c r="E53" t="s">
        <v>22</v>
      </c>
      <c r="L53" t="s">
        <v>23</v>
      </c>
      <c r="P53" t="s">
        <v>24</v>
      </c>
      <c r="W53" t="s">
        <v>25</v>
      </c>
    </row>
    <row r="54" spans="1:45" x14ac:dyDescent="0.3">
      <c r="E54" s="12">
        <f>E50</f>
        <v>0</v>
      </c>
      <c r="F54" s="13">
        <v>0</v>
      </c>
      <c r="G54" s="13">
        <f>F50</f>
        <v>1</v>
      </c>
      <c r="H54" s="13">
        <v>0</v>
      </c>
      <c r="I54" s="13">
        <f>G50</f>
        <v>-1</v>
      </c>
      <c r="J54" s="14">
        <v>0</v>
      </c>
      <c r="L54" s="12">
        <f t="array" ref="L54:N59">TRANSPOSE(E54:J56)</f>
        <v>0</v>
      </c>
      <c r="M54" s="13">
        <v>0</v>
      </c>
      <c r="N54" s="14">
        <v>-1</v>
      </c>
      <c r="P54" s="12">
        <f t="array" ref="P54:U59">MMULT(L54:N59,E54:J56)</f>
        <v>1</v>
      </c>
      <c r="Q54" s="13">
        <v>0</v>
      </c>
      <c r="R54" s="13">
        <v>0</v>
      </c>
      <c r="S54" s="13">
        <v>-1</v>
      </c>
      <c r="T54" s="13">
        <v>-1</v>
      </c>
      <c r="U54" s="14">
        <v>1</v>
      </c>
      <c r="W54" s="12">
        <f>P54*$P$41</f>
        <v>0.5</v>
      </c>
      <c r="X54" s="12">
        <f t="shared" ref="X54:AB54" si="23">Q54*$P$41</f>
        <v>0</v>
      </c>
      <c r="Y54" s="12">
        <f t="shared" si="23"/>
        <v>0</v>
      </c>
      <c r="Z54" s="12">
        <f t="shared" si="23"/>
        <v>-0.5</v>
      </c>
      <c r="AA54" s="12">
        <f t="shared" si="23"/>
        <v>-0.5</v>
      </c>
      <c r="AB54" s="12">
        <f t="shared" si="23"/>
        <v>0.5</v>
      </c>
    </row>
    <row r="55" spans="1:45" x14ac:dyDescent="0.3">
      <c r="E55" s="15">
        <v>0</v>
      </c>
      <c r="F55" s="8">
        <f t="array" ref="F55">E51</f>
        <v>-1</v>
      </c>
      <c r="G55" s="8">
        <v>0</v>
      </c>
      <c r="H55" s="8">
        <f>F51</f>
        <v>0</v>
      </c>
      <c r="I55" s="8">
        <v>0</v>
      </c>
      <c r="J55" s="16">
        <f>G51</f>
        <v>1</v>
      </c>
      <c r="L55" s="15">
        <v>0</v>
      </c>
      <c r="M55" s="8">
        <v>-1</v>
      </c>
      <c r="N55" s="16">
        <v>0</v>
      </c>
      <c r="P55" s="15">
        <v>0</v>
      </c>
      <c r="Q55" s="8">
        <v>1</v>
      </c>
      <c r="R55" s="8">
        <v>0</v>
      </c>
      <c r="S55" s="8">
        <v>0</v>
      </c>
      <c r="T55" s="8">
        <v>0</v>
      </c>
      <c r="U55" s="16">
        <v>-1</v>
      </c>
      <c r="W55" s="12">
        <f t="shared" ref="W55:W59" si="24">P55*$P$41</f>
        <v>0</v>
      </c>
      <c r="X55" s="12">
        <f t="shared" ref="X55:X59" si="25">Q55*$P$41</f>
        <v>0.5</v>
      </c>
      <c r="Y55" s="12">
        <f t="shared" ref="Y55:Y59" si="26">R55*$P$41</f>
        <v>0</v>
      </c>
      <c r="Z55" s="12">
        <f t="shared" ref="Z55:Z59" si="27">S55*$P$41</f>
        <v>0</v>
      </c>
      <c r="AA55" s="12">
        <f t="shared" ref="AA55:AA59" si="28">T55*$P$41</f>
        <v>0</v>
      </c>
      <c r="AB55" s="12">
        <f t="shared" ref="AB55:AB59" si="29">U55*$P$41</f>
        <v>-0.5</v>
      </c>
    </row>
    <row r="56" spans="1:45" x14ac:dyDescent="0.3">
      <c r="E56" s="17">
        <f>E51</f>
        <v>-1</v>
      </c>
      <c r="F56" s="18">
        <f>E50</f>
        <v>0</v>
      </c>
      <c r="G56" s="18">
        <f>F51</f>
        <v>0</v>
      </c>
      <c r="H56" s="18">
        <f>F50</f>
        <v>1</v>
      </c>
      <c r="I56" s="18">
        <f>G51</f>
        <v>1</v>
      </c>
      <c r="J56" s="19">
        <f>G50</f>
        <v>-1</v>
      </c>
      <c r="L56" s="15">
        <v>1</v>
      </c>
      <c r="M56" s="8">
        <v>0</v>
      </c>
      <c r="N56" s="16">
        <v>0</v>
      </c>
      <c r="P56" s="15">
        <v>0</v>
      </c>
      <c r="Q56" s="8">
        <v>0</v>
      </c>
      <c r="R56" s="8">
        <v>1</v>
      </c>
      <c r="S56" s="8">
        <v>0</v>
      </c>
      <c r="T56" s="8">
        <v>-1</v>
      </c>
      <c r="U56" s="16">
        <v>0</v>
      </c>
      <c r="W56" s="12">
        <f t="shared" si="24"/>
        <v>0</v>
      </c>
      <c r="X56" s="12">
        <f t="shared" si="25"/>
        <v>0</v>
      </c>
      <c r="Y56" s="12">
        <f t="shared" si="26"/>
        <v>0.5</v>
      </c>
      <c r="Z56" s="12">
        <f t="shared" si="27"/>
        <v>0</v>
      </c>
      <c r="AA56" s="12">
        <f t="shared" si="28"/>
        <v>-0.5</v>
      </c>
      <c r="AB56" s="12">
        <f t="shared" si="29"/>
        <v>0</v>
      </c>
    </row>
    <row r="57" spans="1:45" x14ac:dyDescent="0.3">
      <c r="L57" s="15">
        <v>0</v>
      </c>
      <c r="M57" s="8">
        <v>0</v>
      </c>
      <c r="N57" s="16">
        <v>1</v>
      </c>
      <c r="P57" s="15">
        <v>-1</v>
      </c>
      <c r="Q57" s="8">
        <v>0</v>
      </c>
      <c r="R57" s="8">
        <v>0</v>
      </c>
      <c r="S57" s="8">
        <v>1</v>
      </c>
      <c r="T57" s="8">
        <v>1</v>
      </c>
      <c r="U57" s="16">
        <v>-1</v>
      </c>
      <c r="W57" s="12">
        <f t="shared" si="24"/>
        <v>-0.5</v>
      </c>
      <c r="X57" s="12">
        <f t="shared" si="25"/>
        <v>0</v>
      </c>
      <c r="Y57" s="12">
        <f t="shared" si="26"/>
        <v>0</v>
      </c>
      <c r="Z57" s="12">
        <f t="shared" si="27"/>
        <v>0.5</v>
      </c>
      <c r="AA57" s="12">
        <f t="shared" si="28"/>
        <v>0.5</v>
      </c>
      <c r="AB57" s="12">
        <f t="shared" si="29"/>
        <v>-0.5</v>
      </c>
    </row>
    <row r="58" spans="1:45" x14ac:dyDescent="0.3">
      <c r="L58" s="15">
        <v>-1</v>
      </c>
      <c r="M58" s="8">
        <v>0</v>
      </c>
      <c r="N58" s="16">
        <v>1</v>
      </c>
      <c r="P58" s="15">
        <v>-1</v>
      </c>
      <c r="Q58" s="8">
        <v>0</v>
      </c>
      <c r="R58" s="8">
        <v>-1</v>
      </c>
      <c r="S58" s="8">
        <v>1</v>
      </c>
      <c r="T58" s="8">
        <v>2</v>
      </c>
      <c r="U58" s="16">
        <v>-1</v>
      </c>
      <c r="W58" s="12">
        <f t="shared" si="24"/>
        <v>-0.5</v>
      </c>
      <c r="X58" s="12">
        <f t="shared" si="25"/>
        <v>0</v>
      </c>
      <c r="Y58" s="12">
        <f t="shared" si="26"/>
        <v>-0.5</v>
      </c>
      <c r="Z58" s="12">
        <f t="shared" si="27"/>
        <v>0.5</v>
      </c>
      <c r="AA58" s="12">
        <f t="shared" si="28"/>
        <v>1</v>
      </c>
      <c r="AB58" s="12">
        <f t="shared" si="29"/>
        <v>-0.5</v>
      </c>
    </row>
    <row r="59" spans="1:45" x14ac:dyDescent="0.3">
      <c r="L59" s="17">
        <v>0</v>
      </c>
      <c r="M59" s="18">
        <v>1</v>
      </c>
      <c r="N59" s="19">
        <v>-1</v>
      </c>
      <c r="P59" s="17">
        <v>1</v>
      </c>
      <c r="Q59" s="18">
        <v>-1</v>
      </c>
      <c r="R59" s="18">
        <v>0</v>
      </c>
      <c r="S59" s="18">
        <v>-1</v>
      </c>
      <c r="T59" s="18">
        <v>-1</v>
      </c>
      <c r="U59" s="19">
        <v>2</v>
      </c>
      <c r="W59" s="12">
        <f t="shared" si="24"/>
        <v>0.5</v>
      </c>
      <c r="X59" s="12">
        <f t="shared" si="25"/>
        <v>-0.5</v>
      </c>
      <c r="Y59" s="12">
        <f t="shared" si="26"/>
        <v>0</v>
      </c>
      <c r="Z59" s="12">
        <f t="shared" si="27"/>
        <v>-0.5</v>
      </c>
      <c r="AA59" s="12">
        <f t="shared" si="28"/>
        <v>-0.5</v>
      </c>
      <c r="AB59" s="12">
        <f t="shared" si="29"/>
        <v>1</v>
      </c>
    </row>
    <row r="60" spans="1:45" x14ac:dyDescent="0.3">
      <c r="A60" t="s">
        <v>88</v>
      </c>
    </row>
    <row r="61" spans="1:45" x14ac:dyDescent="0.3">
      <c r="M61" t="s">
        <v>37</v>
      </c>
      <c r="N61" t="s">
        <v>51</v>
      </c>
    </row>
    <row r="62" spans="1:45" x14ac:dyDescent="0.3">
      <c r="I62" t="s">
        <v>34</v>
      </c>
      <c r="R62" t="s">
        <v>52</v>
      </c>
      <c r="W62" t="s">
        <v>54</v>
      </c>
      <c r="AA62" t="s">
        <v>55</v>
      </c>
      <c r="AC62" t="s">
        <v>37</v>
      </c>
    </row>
    <row r="63" spans="1:45" x14ac:dyDescent="0.3">
      <c r="H63">
        <v>1</v>
      </c>
      <c r="I63" s="12">
        <f t="shared" ref="I63:K65" si="30">O20</f>
        <v>5.5555555555555587E-2</v>
      </c>
      <c r="J63" s="13">
        <f t="shared" si="30"/>
        <v>5.5555555555555566E-2</v>
      </c>
      <c r="K63" s="14">
        <f t="shared" si="30"/>
        <v>5.5555555555555566E-2</v>
      </c>
      <c r="R63" s="12">
        <f>I63</f>
        <v>5.5555555555555587E-2</v>
      </c>
      <c r="S63" s="13">
        <f t="shared" ref="S63:T63" si="31">J63</f>
        <v>5.5555555555555566E-2</v>
      </c>
      <c r="T63" s="13">
        <f t="shared" si="31"/>
        <v>5.5555555555555566E-2</v>
      </c>
      <c r="U63" s="14">
        <v>0</v>
      </c>
      <c r="W63" s="12">
        <f>R63+R69</f>
        <v>0.11111111111111117</v>
      </c>
      <c r="X63" s="13">
        <f t="shared" ref="X63:Z63" si="32">S63+S69</f>
        <v>5.5555555555555566E-2</v>
      </c>
      <c r="Y63" s="13">
        <f t="shared" si="32"/>
        <v>0.11111111111111113</v>
      </c>
      <c r="Z63" s="14">
        <f t="shared" si="32"/>
        <v>5.5555555555555566E-2</v>
      </c>
      <c r="AA63" s="23">
        <f>SUM(W63:Z63)</f>
        <v>0.33333333333333348</v>
      </c>
      <c r="AC63" s="12">
        <f t="shared" ref="AC63:AF66" si="33">W63</f>
        <v>0.11111111111111117</v>
      </c>
      <c r="AD63" s="13">
        <f t="shared" si="33"/>
        <v>5.5555555555555566E-2</v>
      </c>
      <c r="AE63" s="13">
        <f t="shared" si="33"/>
        <v>0.11111111111111113</v>
      </c>
      <c r="AF63" s="13">
        <f t="shared" si="33"/>
        <v>5.5555555555555566E-2</v>
      </c>
      <c r="AG63" s="13">
        <v>0</v>
      </c>
      <c r="AH63" s="13">
        <v>0</v>
      </c>
      <c r="AI63" s="13">
        <v>0</v>
      </c>
      <c r="AJ63" s="14">
        <v>0</v>
      </c>
      <c r="AL63" s="12">
        <f>AA63</f>
        <v>0.33333333333333348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4">
        <v>0</v>
      </c>
    </row>
    <row r="64" spans="1:45" x14ac:dyDescent="0.3">
      <c r="H64">
        <v>2</v>
      </c>
      <c r="I64" s="15">
        <f t="shared" si="30"/>
        <v>5.5555555555555566E-2</v>
      </c>
      <c r="J64" s="8">
        <f t="shared" si="30"/>
        <v>5.5555555555555552E-2</v>
      </c>
      <c r="K64" s="16">
        <f t="shared" si="30"/>
        <v>5.5555555555555552E-2</v>
      </c>
      <c r="R64" s="15">
        <f t="shared" ref="R64:R65" si="34">I64</f>
        <v>5.5555555555555566E-2</v>
      </c>
      <c r="S64" s="8">
        <f t="shared" ref="S64:S65" si="35">J64</f>
        <v>5.5555555555555552E-2</v>
      </c>
      <c r="T64" s="8">
        <f t="shared" ref="T64:T65" si="36">K64</f>
        <v>5.5555555555555552E-2</v>
      </c>
      <c r="U64" s="16">
        <v>0</v>
      </c>
      <c r="W64" s="15">
        <f t="shared" ref="W64:W66" si="37">R64+R70</f>
        <v>5.5555555555555566E-2</v>
      </c>
      <c r="X64" s="8">
        <f t="shared" ref="X64:X66" si="38">S64+S70</f>
        <v>5.5555555555555552E-2</v>
      </c>
      <c r="Y64" s="8">
        <f t="shared" ref="Y64:Y66" si="39">T64+T70</f>
        <v>5.5555555555555552E-2</v>
      </c>
      <c r="Z64" s="16">
        <f t="shared" ref="Z64:Z66" si="40">U64+U70</f>
        <v>0</v>
      </c>
      <c r="AA64" s="23">
        <f t="shared" ref="AA64:AA66" si="41">SUM(W64:Z64)</f>
        <v>0.16666666666666669</v>
      </c>
      <c r="AC64" s="15">
        <f t="shared" si="33"/>
        <v>5.5555555555555566E-2</v>
      </c>
      <c r="AD64" s="8">
        <f t="shared" si="33"/>
        <v>5.5555555555555552E-2</v>
      </c>
      <c r="AE64" s="8">
        <f t="shared" si="33"/>
        <v>5.5555555555555552E-2</v>
      </c>
      <c r="AF64" s="8">
        <f t="shared" si="33"/>
        <v>0</v>
      </c>
      <c r="AG64" s="8">
        <v>0</v>
      </c>
      <c r="AH64" s="8">
        <v>0</v>
      </c>
      <c r="AI64" s="8">
        <v>0</v>
      </c>
      <c r="AJ64" s="16">
        <v>0</v>
      </c>
      <c r="AL64" s="15">
        <v>0</v>
      </c>
      <c r="AM64" s="8">
        <f>AA64</f>
        <v>0.16666666666666669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16">
        <v>0</v>
      </c>
    </row>
    <row r="65" spans="8:45" x14ac:dyDescent="0.3">
      <c r="H65">
        <v>3</v>
      </c>
      <c r="I65" s="17">
        <f t="shared" si="30"/>
        <v>5.5555555555555566E-2</v>
      </c>
      <c r="J65" s="18">
        <f t="shared" si="30"/>
        <v>5.5555555555555552E-2</v>
      </c>
      <c r="K65" s="19">
        <f t="shared" si="30"/>
        <v>5.5555555555555552E-2</v>
      </c>
      <c r="R65" s="15">
        <f t="shared" si="34"/>
        <v>5.5555555555555566E-2</v>
      </c>
      <c r="S65" s="8">
        <f t="shared" si="35"/>
        <v>5.5555555555555552E-2</v>
      </c>
      <c r="T65" s="8">
        <f t="shared" si="36"/>
        <v>5.5555555555555552E-2</v>
      </c>
      <c r="U65" s="16">
        <v>0</v>
      </c>
      <c r="W65" s="15">
        <f t="shared" si="37"/>
        <v>0.11111111111111113</v>
      </c>
      <c r="X65" s="8">
        <f t="shared" si="38"/>
        <v>5.5555555555555552E-2</v>
      </c>
      <c r="Y65" s="8">
        <f t="shared" si="39"/>
        <v>0.1111111111111111</v>
      </c>
      <c r="Z65" s="16">
        <f t="shared" si="40"/>
        <v>5.5555555555555552E-2</v>
      </c>
      <c r="AA65" s="23">
        <f t="shared" si="41"/>
        <v>0.33333333333333337</v>
      </c>
      <c r="AC65" s="15">
        <f t="shared" si="33"/>
        <v>0.11111111111111113</v>
      </c>
      <c r="AD65" s="8">
        <f t="shared" si="33"/>
        <v>5.5555555555555552E-2</v>
      </c>
      <c r="AE65" s="8">
        <f t="shared" si="33"/>
        <v>0.1111111111111111</v>
      </c>
      <c r="AF65" s="8">
        <f t="shared" si="33"/>
        <v>5.5555555555555552E-2</v>
      </c>
      <c r="AG65" s="8">
        <v>0</v>
      </c>
      <c r="AH65" s="8">
        <v>0</v>
      </c>
      <c r="AI65" s="8">
        <v>0</v>
      </c>
      <c r="AJ65" s="16">
        <v>0</v>
      </c>
      <c r="AL65" s="15">
        <v>0</v>
      </c>
      <c r="AM65" s="8">
        <v>0</v>
      </c>
      <c r="AN65" s="8">
        <f>AA65</f>
        <v>0.33333333333333337</v>
      </c>
      <c r="AO65" s="8">
        <v>0</v>
      </c>
      <c r="AP65" s="8">
        <v>0</v>
      </c>
      <c r="AQ65" s="8">
        <v>0</v>
      </c>
      <c r="AR65" s="8">
        <v>0</v>
      </c>
      <c r="AS65" s="16">
        <v>0</v>
      </c>
    </row>
    <row r="66" spans="8:45" x14ac:dyDescent="0.3">
      <c r="R66" s="17">
        <v>0</v>
      </c>
      <c r="S66" s="18">
        <v>0</v>
      </c>
      <c r="T66" s="18">
        <v>0</v>
      </c>
      <c r="U66" s="19">
        <v>0</v>
      </c>
      <c r="W66" s="17">
        <f t="shared" si="37"/>
        <v>5.5555555555555566E-2</v>
      </c>
      <c r="X66" s="18">
        <f t="shared" si="38"/>
        <v>0</v>
      </c>
      <c r="Y66" s="18">
        <f t="shared" si="39"/>
        <v>5.5555555555555552E-2</v>
      </c>
      <c r="Z66" s="19">
        <f t="shared" si="40"/>
        <v>5.5555555555555552E-2</v>
      </c>
      <c r="AA66" s="23">
        <f t="shared" si="41"/>
        <v>0.16666666666666669</v>
      </c>
      <c r="AC66" s="15">
        <f t="shared" si="33"/>
        <v>5.5555555555555566E-2</v>
      </c>
      <c r="AD66" s="8">
        <f t="shared" si="33"/>
        <v>0</v>
      </c>
      <c r="AE66" s="8">
        <f t="shared" si="33"/>
        <v>5.5555555555555552E-2</v>
      </c>
      <c r="AF66" s="8">
        <f t="shared" si="33"/>
        <v>5.5555555555555552E-2</v>
      </c>
      <c r="AG66" s="8">
        <v>0</v>
      </c>
      <c r="AH66" s="8">
        <v>0</v>
      </c>
      <c r="AI66" s="8">
        <v>0</v>
      </c>
      <c r="AJ66" s="16">
        <v>0</v>
      </c>
      <c r="AL66" s="15">
        <v>0</v>
      </c>
      <c r="AM66" s="8">
        <v>0</v>
      </c>
      <c r="AN66" s="8">
        <v>0</v>
      </c>
      <c r="AO66" s="8">
        <f>AA66</f>
        <v>0.16666666666666669</v>
      </c>
      <c r="AP66" s="8">
        <v>0</v>
      </c>
      <c r="AQ66" s="8">
        <v>0</v>
      </c>
      <c r="AR66" s="8">
        <v>0</v>
      </c>
      <c r="AS66" s="16">
        <v>0</v>
      </c>
    </row>
    <row r="67" spans="8:45" x14ac:dyDescent="0.3">
      <c r="I67" t="s">
        <v>35</v>
      </c>
      <c r="AC67" s="15">
        <v>0</v>
      </c>
      <c r="AD67" s="8">
        <v>0</v>
      </c>
      <c r="AE67" s="8">
        <v>0</v>
      </c>
      <c r="AF67" s="8">
        <v>0</v>
      </c>
      <c r="AG67" s="8">
        <f t="shared" ref="AG67:AJ70" si="42">W63</f>
        <v>0.11111111111111117</v>
      </c>
      <c r="AH67" s="8">
        <f t="shared" si="42"/>
        <v>5.5555555555555566E-2</v>
      </c>
      <c r="AI67" s="8">
        <f t="shared" si="42"/>
        <v>0.11111111111111113</v>
      </c>
      <c r="AJ67" s="16">
        <f t="shared" si="42"/>
        <v>5.5555555555555566E-2</v>
      </c>
      <c r="AL67" s="15">
        <v>0</v>
      </c>
      <c r="AM67" s="8">
        <v>0</v>
      </c>
      <c r="AN67" s="8">
        <v>0</v>
      </c>
      <c r="AO67" s="8">
        <v>0</v>
      </c>
      <c r="AP67" s="8">
        <f>AA63</f>
        <v>0.33333333333333348</v>
      </c>
      <c r="AQ67" s="8">
        <v>0</v>
      </c>
      <c r="AR67" s="8">
        <v>0</v>
      </c>
      <c r="AS67" s="16">
        <v>0</v>
      </c>
    </row>
    <row r="68" spans="8:45" x14ac:dyDescent="0.3">
      <c r="H68">
        <v>1</v>
      </c>
      <c r="I68" s="12">
        <f t="shared" ref="I68:K70" si="43">O46</f>
        <v>5.5555555555555587E-2</v>
      </c>
      <c r="J68" s="13">
        <f t="shared" si="43"/>
        <v>5.5555555555555566E-2</v>
      </c>
      <c r="K68" s="14">
        <f t="shared" si="43"/>
        <v>5.5555555555555566E-2</v>
      </c>
      <c r="R68" t="s">
        <v>53</v>
      </c>
      <c r="AC68" s="15">
        <v>0</v>
      </c>
      <c r="AD68" s="8">
        <v>0</v>
      </c>
      <c r="AE68" s="8">
        <v>0</v>
      </c>
      <c r="AF68" s="8">
        <v>0</v>
      </c>
      <c r="AG68" s="8">
        <f t="shared" si="42"/>
        <v>5.5555555555555566E-2</v>
      </c>
      <c r="AH68" s="8">
        <f t="shared" si="42"/>
        <v>5.5555555555555552E-2</v>
      </c>
      <c r="AI68" s="8">
        <f t="shared" si="42"/>
        <v>5.5555555555555552E-2</v>
      </c>
      <c r="AJ68" s="16">
        <f t="shared" si="42"/>
        <v>0</v>
      </c>
      <c r="AL68" s="15">
        <v>0</v>
      </c>
      <c r="AM68" s="8">
        <v>0</v>
      </c>
      <c r="AN68" s="8">
        <v>0</v>
      </c>
      <c r="AO68" s="8">
        <v>0</v>
      </c>
      <c r="AP68" s="8">
        <v>0</v>
      </c>
      <c r="AQ68" s="8">
        <f>AA64</f>
        <v>0.16666666666666669</v>
      </c>
      <c r="AR68" s="8">
        <v>0</v>
      </c>
      <c r="AS68" s="16">
        <v>0</v>
      </c>
    </row>
    <row r="69" spans="8:45" x14ac:dyDescent="0.3">
      <c r="H69">
        <v>3</v>
      </c>
      <c r="I69" s="15">
        <f t="shared" si="43"/>
        <v>5.5555555555555566E-2</v>
      </c>
      <c r="J69" s="8">
        <f t="shared" si="43"/>
        <v>5.5555555555555552E-2</v>
      </c>
      <c r="K69" s="16">
        <f t="shared" si="43"/>
        <v>5.5555555555555552E-2</v>
      </c>
      <c r="R69" s="12">
        <f>I68</f>
        <v>5.5555555555555587E-2</v>
      </c>
      <c r="S69" s="13">
        <v>0</v>
      </c>
      <c r="T69" s="13">
        <f>J68</f>
        <v>5.5555555555555566E-2</v>
      </c>
      <c r="U69" s="14">
        <f>K68</f>
        <v>5.5555555555555566E-2</v>
      </c>
      <c r="AC69" s="15">
        <v>0</v>
      </c>
      <c r="AD69" s="8">
        <v>0</v>
      </c>
      <c r="AE69" s="8">
        <v>0</v>
      </c>
      <c r="AF69" s="8">
        <v>0</v>
      </c>
      <c r="AG69" s="8">
        <f t="shared" si="42"/>
        <v>0.11111111111111113</v>
      </c>
      <c r="AH69" s="8">
        <f t="shared" si="42"/>
        <v>5.5555555555555552E-2</v>
      </c>
      <c r="AI69" s="8">
        <f t="shared" si="42"/>
        <v>0.1111111111111111</v>
      </c>
      <c r="AJ69" s="16">
        <f t="shared" si="42"/>
        <v>5.5555555555555552E-2</v>
      </c>
      <c r="AL69" s="15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f>AA65</f>
        <v>0.33333333333333337</v>
      </c>
      <c r="AS69" s="16">
        <v>0</v>
      </c>
    </row>
    <row r="70" spans="8:45" x14ac:dyDescent="0.3">
      <c r="H70">
        <v>4</v>
      </c>
      <c r="I70" s="17">
        <f t="shared" si="43"/>
        <v>5.5555555555555566E-2</v>
      </c>
      <c r="J70" s="18">
        <f t="shared" si="43"/>
        <v>5.5555555555555552E-2</v>
      </c>
      <c r="K70" s="19">
        <f t="shared" si="43"/>
        <v>5.5555555555555552E-2</v>
      </c>
      <c r="R70" s="15">
        <v>0</v>
      </c>
      <c r="S70" s="8">
        <v>0</v>
      </c>
      <c r="T70" s="8">
        <v>0</v>
      </c>
      <c r="U70" s="16">
        <v>0</v>
      </c>
      <c r="AC70" s="17">
        <v>0</v>
      </c>
      <c r="AD70" s="18">
        <v>0</v>
      </c>
      <c r="AE70" s="18">
        <v>0</v>
      </c>
      <c r="AF70" s="18">
        <v>0</v>
      </c>
      <c r="AG70" s="18">
        <f t="shared" si="42"/>
        <v>5.5555555555555566E-2</v>
      </c>
      <c r="AH70" s="18">
        <f t="shared" si="42"/>
        <v>0</v>
      </c>
      <c r="AI70" s="18">
        <f t="shared" si="42"/>
        <v>5.5555555555555552E-2</v>
      </c>
      <c r="AJ70" s="19">
        <f t="shared" si="42"/>
        <v>5.5555555555555552E-2</v>
      </c>
      <c r="AL70" s="17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9">
        <f>AA66</f>
        <v>0.16666666666666669</v>
      </c>
    </row>
    <row r="71" spans="8:45" x14ac:dyDescent="0.3">
      <c r="R71" s="15">
        <f>I69</f>
        <v>5.5555555555555566E-2</v>
      </c>
      <c r="S71" s="8">
        <v>0</v>
      </c>
      <c r="T71" s="8">
        <f>J69</f>
        <v>5.5555555555555552E-2</v>
      </c>
      <c r="U71" s="16">
        <f>K69</f>
        <v>5.5555555555555552E-2</v>
      </c>
    </row>
    <row r="72" spans="8:45" x14ac:dyDescent="0.3">
      <c r="R72" s="17">
        <f>I70</f>
        <v>5.5555555555555566E-2</v>
      </c>
      <c r="S72" s="18">
        <v>0</v>
      </c>
      <c r="T72" s="18">
        <f>J70</f>
        <v>5.5555555555555552E-2</v>
      </c>
      <c r="U72" s="19">
        <f>K70</f>
        <v>5.5555555555555552E-2</v>
      </c>
      <c r="AL72" t="s">
        <v>60</v>
      </c>
    </row>
    <row r="73" spans="8:45" x14ac:dyDescent="0.3">
      <c r="AL73">
        <f t="array" ref="AL73:AS80">MINVERSE(AL63:AS70)</f>
        <v>2.9999999999999987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8:45" x14ac:dyDescent="0.3">
      <c r="AL74">
        <v>0</v>
      </c>
      <c r="AM74">
        <v>5.9999999999999991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8:45" x14ac:dyDescent="0.3">
      <c r="W75" t="s">
        <v>51</v>
      </c>
      <c r="AL75">
        <v>0</v>
      </c>
      <c r="AM75">
        <v>0</v>
      </c>
      <c r="AN75">
        <v>2.9999999999999996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8:45" x14ac:dyDescent="0.3">
      <c r="I76" t="s">
        <v>26</v>
      </c>
      <c r="J76" t="s">
        <v>109</v>
      </c>
      <c r="W76" t="s">
        <v>108</v>
      </c>
      <c r="AL76">
        <v>0</v>
      </c>
      <c r="AM76">
        <v>0</v>
      </c>
      <c r="AN76">
        <v>0</v>
      </c>
      <c r="AO76">
        <v>5.9999999999999991</v>
      </c>
      <c r="AP76">
        <v>0</v>
      </c>
      <c r="AQ76">
        <v>0</v>
      </c>
      <c r="AR76">
        <v>0</v>
      </c>
      <c r="AS76">
        <v>0</v>
      </c>
    </row>
    <row r="77" spans="8:45" x14ac:dyDescent="0.3">
      <c r="H77">
        <v>1</v>
      </c>
      <c r="I77" s="12">
        <f>V24*$H$294</f>
        <v>5.5727564927611037E-2</v>
      </c>
      <c r="J77" s="12">
        <f t="shared" ref="J77:K77" si="44">W24*$H$294</f>
        <v>-5.5727564927611037E-2</v>
      </c>
      <c r="K77" s="12">
        <f t="shared" si="44"/>
        <v>0</v>
      </c>
      <c r="M77" s="12">
        <f>I77</f>
        <v>5.5727564927611037E-2</v>
      </c>
      <c r="N77" s="12">
        <f t="shared" ref="N77:O77" si="45">J77</f>
        <v>-5.5727564927611037E-2</v>
      </c>
      <c r="O77" s="12">
        <f t="shared" si="45"/>
        <v>0</v>
      </c>
      <c r="P77" s="14">
        <v>0</v>
      </c>
      <c r="R77" s="12">
        <f>M77+M82</f>
        <v>0.11145512985522207</v>
      </c>
      <c r="S77" s="13">
        <f t="shared" ref="S77:U77" si="46">N77+N82</f>
        <v>-5.5727564927611037E-2</v>
      </c>
      <c r="T77" s="13">
        <f t="shared" si="46"/>
        <v>0</v>
      </c>
      <c r="U77" s="14">
        <f t="shared" si="46"/>
        <v>-5.5727564927611037E-2</v>
      </c>
      <c r="W77" s="12">
        <f>R77</f>
        <v>0.11145512985522207</v>
      </c>
      <c r="X77" s="13">
        <f t="shared" ref="X77:Z80" si="47">S77</f>
        <v>-5.5727564927611037E-2</v>
      </c>
      <c r="Y77" s="13">
        <f t="shared" si="47"/>
        <v>0</v>
      </c>
      <c r="Z77" s="13">
        <f t="shared" si="47"/>
        <v>-5.5727564927611037E-2</v>
      </c>
      <c r="AA77" s="13">
        <v>0</v>
      </c>
      <c r="AB77" s="13">
        <v>0</v>
      </c>
      <c r="AC77" s="13">
        <v>0</v>
      </c>
      <c r="AD77" s="14">
        <v>0</v>
      </c>
      <c r="AL77">
        <v>0</v>
      </c>
      <c r="AM77">
        <v>0</v>
      </c>
      <c r="AN77">
        <v>0</v>
      </c>
      <c r="AO77">
        <v>0</v>
      </c>
      <c r="AP77">
        <v>2.9999999999999987</v>
      </c>
      <c r="AQ77">
        <v>0</v>
      </c>
      <c r="AR77">
        <v>0</v>
      </c>
      <c r="AS77">
        <v>0</v>
      </c>
    </row>
    <row r="78" spans="8:45" x14ac:dyDescent="0.3">
      <c r="H78">
        <v>2</v>
      </c>
      <c r="I78" s="12">
        <f t="shared" ref="I78:I79" si="48">V25*$H$294</f>
        <v>-5.5727564927611037E-2</v>
      </c>
      <c r="J78" s="12">
        <f t="shared" ref="J78:J79" si="49">W25*$H$294</f>
        <v>0.11145512985522207</v>
      </c>
      <c r="K78" s="12">
        <f t="shared" ref="K78:K79" si="50">X25*$H$294</f>
        <v>-5.5727564927611037E-2</v>
      </c>
      <c r="M78" s="12">
        <f t="shared" ref="M78:M79" si="51">I78</f>
        <v>-5.5727564927611037E-2</v>
      </c>
      <c r="N78" s="12">
        <f t="shared" ref="N78:N79" si="52">J78</f>
        <v>0.11145512985522207</v>
      </c>
      <c r="O78" s="12">
        <f t="shared" ref="O78:O79" si="53">K78</f>
        <v>-5.5727564927611037E-2</v>
      </c>
      <c r="P78" s="16">
        <v>0</v>
      </c>
      <c r="R78" s="15">
        <f t="shared" ref="R78:R80" si="54">M78+M83</f>
        <v>-5.5727564927611037E-2</v>
      </c>
      <c r="S78" s="8">
        <f t="shared" ref="S78:S80" si="55">N78+N83</f>
        <v>0.11145512985522207</v>
      </c>
      <c r="T78" s="8">
        <f t="shared" ref="T78:T80" si="56">O78+O83</f>
        <v>-5.5727564927611037E-2</v>
      </c>
      <c r="U78" s="16">
        <f t="shared" ref="U78:U80" si="57">P78+P83</f>
        <v>0</v>
      </c>
      <c r="W78" s="15">
        <f t="shared" ref="W78:W80" si="58">R78</f>
        <v>-5.5727564927611037E-2</v>
      </c>
      <c r="X78" s="8">
        <f t="shared" si="47"/>
        <v>0.11145512985522207</v>
      </c>
      <c r="Y78" s="8">
        <f t="shared" si="47"/>
        <v>-5.5727564927611037E-2</v>
      </c>
      <c r="Z78" s="8">
        <f t="shared" si="47"/>
        <v>0</v>
      </c>
      <c r="AA78" s="8">
        <v>0</v>
      </c>
      <c r="AB78" s="8">
        <v>0</v>
      </c>
      <c r="AC78" s="8">
        <v>0</v>
      </c>
      <c r="AD78" s="16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5.9999999999999991</v>
      </c>
      <c r="AR78">
        <v>0</v>
      </c>
      <c r="AS78">
        <v>0</v>
      </c>
    </row>
    <row r="79" spans="8:45" x14ac:dyDescent="0.3">
      <c r="H79">
        <v>3</v>
      </c>
      <c r="I79" s="12">
        <f t="shared" si="48"/>
        <v>0</v>
      </c>
      <c r="J79" s="12">
        <f t="shared" si="49"/>
        <v>-5.5727564927611037E-2</v>
      </c>
      <c r="K79" s="12">
        <f t="shared" si="50"/>
        <v>5.5727564927611037E-2</v>
      </c>
      <c r="M79" s="12">
        <f t="shared" si="51"/>
        <v>0</v>
      </c>
      <c r="N79" s="12">
        <f t="shared" si="52"/>
        <v>-5.5727564927611037E-2</v>
      </c>
      <c r="O79" s="12">
        <f t="shared" si="53"/>
        <v>5.5727564927611037E-2</v>
      </c>
      <c r="P79" s="16">
        <v>0</v>
      </c>
      <c r="R79" s="15">
        <f t="shared" si="54"/>
        <v>0</v>
      </c>
      <c r="S79" s="8">
        <f t="shared" si="55"/>
        <v>-5.5727564927611037E-2</v>
      </c>
      <c r="T79" s="8">
        <f t="shared" si="56"/>
        <v>0.11145512985522207</v>
      </c>
      <c r="U79" s="16">
        <f t="shared" si="57"/>
        <v>-5.5727564927611037E-2</v>
      </c>
      <c r="W79" s="15">
        <f t="shared" si="58"/>
        <v>0</v>
      </c>
      <c r="X79" s="8">
        <f t="shared" si="47"/>
        <v>-5.5727564927611037E-2</v>
      </c>
      <c r="Y79" s="8">
        <f t="shared" si="47"/>
        <v>0.11145512985522207</v>
      </c>
      <c r="Z79" s="8">
        <f t="shared" si="47"/>
        <v>-5.5727564927611037E-2</v>
      </c>
      <c r="AA79" s="8">
        <v>0</v>
      </c>
      <c r="AB79" s="8">
        <v>0</v>
      </c>
      <c r="AC79" s="8">
        <v>0</v>
      </c>
      <c r="AD79" s="16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2.9999999999999996</v>
      </c>
      <c r="AS79">
        <v>0</v>
      </c>
    </row>
    <row r="80" spans="8:45" x14ac:dyDescent="0.3">
      <c r="M80" s="17">
        <v>0</v>
      </c>
      <c r="N80" s="18">
        <v>0</v>
      </c>
      <c r="O80" s="18">
        <v>0</v>
      </c>
      <c r="P80" s="19">
        <v>0</v>
      </c>
      <c r="R80" s="17">
        <f t="shared" si="54"/>
        <v>-5.5727564927611037E-2</v>
      </c>
      <c r="S80" s="18">
        <f t="shared" si="55"/>
        <v>0</v>
      </c>
      <c r="T80" s="18">
        <f t="shared" si="56"/>
        <v>-5.5727564927611037E-2</v>
      </c>
      <c r="U80" s="19">
        <f t="shared" si="57"/>
        <v>0.11145512985522207</v>
      </c>
      <c r="W80" s="15">
        <f t="shared" si="58"/>
        <v>-5.5727564927611037E-2</v>
      </c>
      <c r="X80" s="8">
        <f t="shared" si="47"/>
        <v>0</v>
      </c>
      <c r="Y80" s="8">
        <f t="shared" si="47"/>
        <v>-5.5727564927611037E-2</v>
      </c>
      <c r="Z80" s="8">
        <f t="shared" si="47"/>
        <v>0.11145512985522207</v>
      </c>
      <c r="AA80" s="8">
        <v>0</v>
      </c>
      <c r="AB80" s="8">
        <v>0</v>
      </c>
      <c r="AC80" s="8">
        <v>0</v>
      </c>
      <c r="AD80" s="16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5.9999999999999991</v>
      </c>
    </row>
    <row r="81" spans="1:30" x14ac:dyDescent="0.3">
      <c r="I81" t="s">
        <v>27</v>
      </c>
      <c r="J81" t="s">
        <v>109</v>
      </c>
      <c r="W81" s="15">
        <v>0</v>
      </c>
      <c r="X81" s="8">
        <v>0</v>
      </c>
      <c r="Y81" s="8">
        <v>0</v>
      </c>
      <c r="Z81" s="8">
        <v>0</v>
      </c>
      <c r="AA81" s="8">
        <f>R77</f>
        <v>0.11145512985522207</v>
      </c>
      <c r="AB81" s="8">
        <f t="shared" ref="AB81:AD84" si="59">S77</f>
        <v>-5.5727564927611037E-2</v>
      </c>
      <c r="AC81" s="8">
        <f t="shared" si="59"/>
        <v>0</v>
      </c>
      <c r="AD81" s="16">
        <f t="shared" si="59"/>
        <v>-5.5727564927611037E-2</v>
      </c>
    </row>
    <row r="82" spans="1:30" x14ac:dyDescent="0.3">
      <c r="H82">
        <v>1</v>
      </c>
      <c r="I82" s="12">
        <f>V50*$J$294</f>
        <v>5.5727564927611037E-2</v>
      </c>
      <c r="J82" s="12">
        <f t="shared" ref="J82:K82" si="60">W50*$J$294</f>
        <v>0</v>
      </c>
      <c r="K82" s="12">
        <f t="shared" si="60"/>
        <v>-5.5727564927611037E-2</v>
      </c>
      <c r="M82" s="12">
        <f>I82</f>
        <v>5.5727564927611037E-2</v>
      </c>
      <c r="N82" s="13">
        <v>0</v>
      </c>
      <c r="O82" s="13">
        <f>J82</f>
        <v>0</v>
      </c>
      <c r="P82" s="13">
        <f>K82</f>
        <v>-5.5727564927611037E-2</v>
      </c>
      <c r="W82" s="15">
        <v>0</v>
      </c>
      <c r="X82" s="8">
        <v>0</v>
      </c>
      <c r="Y82" s="8">
        <v>0</v>
      </c>
      <c r="Z82" s="8">
        <v>0</v>
      </c>
      <c r="AA82" s="8">
        <f t="shared" ref="AA82:AA84" si="61">R78</f>
        <v>-5.5727564927611037E-2</v>
      </c>
      <c r="AB82" s="8">
        <f t="shared" si="59"/>
        <v>0.11145512985522207</v>
      </c>
      <c r="AC82" s="8">
        <f t="shared" si="59"/>
        <v>-5.5727564927611037E-2</v>
      </c>
      <c r="AD82" s="16">
        <f t="shared" si="59"/>
        <v>0</v>
      </c>
    </row>
    <row r="83" spans="1:30" x14ac:dyDescent="0.3">
      <c r="H83">
        <v>3</v>
      </c>
      <c r="I83" s="12">
        <f>V51*$J$294</f>
        <v>0</v>
      </c>
      <c r="J83" s="12">
        <f t="shared" ref="J83:J84" si="62">W51*$J$294</f>
        <v>5.5727564927611037E-2</v>
      </c>
      <c r="K83" s="12">
        <f t="shared" ref="K83:K84" si="63">X51*$J$294</f>
        <v>-5.5727564927611037E-2</v>
      </c>
      <c r="M83" s="15">
        <v>0</v>
      </c>
      <c r="N83" s="8">
        <v>0</v>
      </c>
      <c r="O83" s="8">
        <v>0</v>
      </c>
      <c r="P83" s="16">
        <v>0</v>
      </c>
      <c r="W83" s="15">
        <v>0</v>
      </c>
      <c r="X83" s="8">
        <v>0</v>
      </c>
      <c r="Y83" s="8">
        <v>0</v>
      </c>
      <c r="Z83" s="8">
        <v>0</v>
      </c>
      <c r="AA83" s="8">
        <f t="shared" si="61"/>
        <v>0</v>
      </c>
      <c r="AB83" s="8">
        <f t="shared" si="59"/>
        <v>-5.5727564927611037E-2</v>
      </c>
      <c r="AC83" s="8">
        <f t="shared" si="59"/>
        <v>0.11145512985522207</v>
      </c>
      <c r="AD83" s="16">
        <f t="shared" si="59"/>
        <v>-5.5727564927611037E-2</v>
      </c>
    </row>
    <row r="84" spans="1:30" x14ac:dyDescent="0.3">
      <c r="H84">
        <v>4</v>
      </c>
      <c r="I84" s="12">
        <f t="shared" ref="I84" si="64">V52*$J$294</f>
        <v>-5.5727564927611037E-2</v>
      </c>
      <c r="J84" s="12">
        <f t="shared" si="62"/>
        <v>-5.5727564927611037E-2</v>
      </c>
      <c r="K84" s="12">
        <f t="shared" si="63"/>
        <v>0.11145512985522207</v>
      </c>
      <c r="M84" s="15">
        <v>0</v>
      </c>
      <c r="N84" s="23">
        <v>0</v>
      </c>
      <c r="O84" s="8">
        <f>J83</f>
        <v>5.5727564927611037E-2</v>
      </c>
      <c r="P84" s="8">
        <f>K83</f>
        <v>-5.5727564927611037E-2</v>
      </c>
      <c r="W84" s="17">
        <v>0</v>
      </c>
      <c r="X84" s="18">
        <v>0</v>
      </c>
      <c r="Y84" s="18">
        <v>0</v>
      </c>
      <c r="Z84" s="18">
        <v>0</v>
      </c>
      <c r="AA84" s="18">
        <f t="shared" si="61"/>
        <v>-5.5727564927611037E-2</v>
      </c>
      <c r="AB84" s="18">
        <f t="shared" si="59"/>
        <v>0</v>
      </c>
      <c r="AC84" s="18">
        <f t="shared" si="59"/>
        <v>-5.5727564927611037E-2</v>
      </c>
      <c r="AD84" s="19">
        <f t="shared" si="59"/>
        <v>0.11145512985522207</v>
      </c>
    </row>
    <row r="85" spans="1:30" x14ac:dyDescent="0.3">
      <c r="M85" s="15">
        <f>I84</f>
        <v>-5.5727564927611037E-2</v>
      </c>
      <c r="N85" s="18">
        <v>0</v>
      </c>
      <c r="O85" s="8">
        <f>J84</f>
        <v>-5.5727564927611037E-2</v>
      </c>
      <c r="P85" s="8">
        <f>K84</f>
        <v>0.11145512985522207</v>
      </c>
    </row>
    <row r="86" spans="1:30" x14ac:dyDescent="0.3">
      <c r="A86" t="s">
        <v>86</v>
      </c>
      <c r="J86" t="s">
        <v>85</v>
      </c>
    </row>
    <row r="87" spans="1:30" x14ac:dyDescent="0.3">
      <c r="A87" t="s">
        <v>38</v>
      </c>
      <c r="J87" t="s">
        <v>41</v>
      </c>
      <c r="K87" t="s">
        <v>42</v>
      </c>
    </row>
    <row r="88" spans="1:30" x14ac:dyDescent="0.3">
      <c r="H88" t="s">
        <v>43</v>
      </c>
      <c r="J88" s="36">
        <f>(C187+C189+C191)/3</f>
        <v>0.33333333333333331</v>
      </c>
      <c r="K88" s="36">
        <f>(C188+C190+C192)/3</f>
        <v>0</v>
      </c>
    </row>
    <row r="89" spans="1:30" x14ac:dyDescent="0.3">
      <c r="H89" t="s">
        <v>39</v>
      </c>
      <c r="L89" t="s">
        <v>36</v>
      </c>
    </row>
    <row r="90" spans="1:30" x14ac:dyDescent="0.3">
      <c r="H90" s="12">
        <f t="array" ref="H90:J92">P41*MMULT(I20:I22,E24:G24)</f>
        <v>-0.16666666666666671</v>
      </c>
      <c r="I90" s="13">
        <v>0.16666666666666671</v>
      </c>
      <c r="J90" s="14">
        <v>0</v>
      </c>
      <c r="K90">
        <v>1</v>
      </c>
      <c r="L90" s="12">
        <f t="array" ref="L90">$J$88*H90+$K$88*H95</f>
        <v>-5.5555555555555566E-2</v>
      </c>
      <c r="M90" s="13">
        <f t="shared" ref="M90:N90" si="65">$J$88*I90+$K$88*I95</f>
        <v>5.5555555555555566E-2</v>
      </c>
      <c r="N90" s="14">
        <f t="shared" si="65"/>
        <v>0</v>
      </c>
    </row>
    <row r="91" spans="1:30" x14ac:dyDescent="0.3">
      <c r="H91" s="15">
        <v>-0.16666666666666666</v>
      </c>
      <c r="I91" s="8">
        <v>0.16666666666666666</v>
      </c>
      <c r="J91" s="16">
        <v>0</v>
      </c>
      <c r="K91">
        <v>2</v>
      </c>
      <c r="L91" s="15">
        <f t="shared" ref="L91:L92" si="66">$J$88*H91+$K$88*H96</f>
        <v>-5.5555555555555552E-2</v>
      </c>
      <c r="M91" s="8">
        <f t="shared" ref="M91:M92" si="67">$J$88*I91+$K$88*I96</f>
        <v>5.5555555555555552E-2</v>
      </c>
      <c r="N91" s="16">
        <f t="shared" ref="N91:N92" si="68">$J$88*J91+$K$88*J96</f>
        <v>0</v>
      </c>
    </row>
    <row r="92" spans="1:30" x14ac:dyDescent="0.3">
      <c r="H92" s="17">
        <v>-0.16666666666666666</v>
      </c>
      <c r="I92" s="18">
        <v>0.16666666666666666</v>
      </c>
      <c r="J92" s="19">
        <v>0</v>
      </c>
      <c r="K92">
        <v>3</v>
      </c>
      <c r="L92" s="17">
        <f t="shared" si="66"/>
        <v>-5.5555555555555552E-2</v>
      </c>
      <c r="M92" s="18">
        <f t="shared" si="67"/>
        <v>5.5555555555555552E-2</v>
      </c>
      <c r="N92" s="19">
        <f t="shared" si="68"/>
        <v>0</v>
      </c>
    </row>
    <row r="94" spans="1:30" x14ac:dyDescent="0.3">
      <c r="H94" t="s">
        <v>40</v>
      </c>
      <c r="L94" s="12">
        <f>L90</f>
        <v>-5.5555555555555566E-2</v>
      </c>
      <c r="M94" s="12">
        <f t="shared" ref="M94:N94" si="69">M90</f>
        <v>5.5555555555555566E-2</v>
      </c>
      <c r="N94" s="12">
        <f t="shared" si="69"/>
        <v>0</v>
      </c>
      <c r="O94" s="14">
        <v>0</v>
      </c>
      <c r="Q94" s="12">
        <f>L94+L106</f>
        <v>-5.5555555555555566E-2</v>
      </c>
      <c r="R94" s="12">
        <f t="shared" ref="R94:T94" si="70">M94+M106</f>
        <v>5.5555555555555566E-2</v>
      </c>
      <c r="S94" s="12">
        <f t="shared" si="70"/>
        <v>0.11111111111111113</v>
      </c>
      <c r="T94" s="20">
        <f t="shared" si="70"/>
        <v>-0.11111111111111113</v>
      </c>
    </row>
    <row r="95" spans="1:30" x14ac:dyDescent="0.3">
      <c r="H95" s="12">
        <f t="array" ref="H95:J97">P15*MMULT(I20:I22,E25:G25)</f>
        <v>0</v>
      </c>
      <c r="I95" s="13">
        <v>-0.16666666666666671</v>
      </c>
      <c r="J95" s="14">
        <v>0.16666666666666671</v>
      </c>
      <c r="L95" s="12">
        <f t="shared" ref="L95:N95" si="71">L91</f>
        <v>-5.5555555555555552E-2</v>
      </c>
      <c r="M95" s="12">
        <f t="shared" si="71"/>
        <v>5.5555555555555552E-2</v>
      </c>
      <c r="N95" s="12">
        <f t="shared" si="71"/>
        <v>0</v>
      </c>
      <c r="O95" s="16">
        <v>0</v>
      </c>
      <c r="Q95" s="12">
        <f t="shared" ref="Q95:Q97" si="72">L95+L107</f>
        <v>-5.5555555555555552E-2</v>
      </c>
      <c r="R95" s="12">
        <f t="shared" ref="R95:R97" si="73">M95+M107</f>
        <v>5.5555555555555552E-2</v>
      </c>
      <c r="S95" s="12">
        <f t="shared" ref="S95:S97" si="74">N95+N107</f>
        <v>0</v>
      </c>
      <c r="T95" s="20">
        <f t="shared" ref="T95:T97" si="75">O95+O107</f>
        <v>0</v>
      </c>
    </row>
    <row r="96" spans="1:30" x14ac:dyDescent="0.3">
      <c r="H96" s="15">
        <v>0</v>
      </c>
      <c r="I96" s="8">
        <v>-0.16666666666666666</v>
      </c>
      <c r="J96" s="16">
        <v>0.16666666666666666</v>
      </c>
      <c r="L96" s="12">
        <f t="shared" ref="L96:N96" si="76">L92</f>
        <v>-5.5555555555555552E-2</v>
      </c>
      <c r="M96" s="12">
        <f t="shared" si="76"/>
        <v>5.5555555555555552E-2</v>
      </c>
      <c r="N96" s="12">
        <f t="shared" si="76"/>
        <v>0</v>
      </c>
      <c r="O96" s="16">
        <v>0</v>
      </c>
      <c r="Q96" s="12">
        <f t="shared" si="72"/>
        <v>-5.5555555555555552E-2</v>
      </c>
      <c r="R96" s="12">
        <f t="shared" si="73"/>
        <v>5.5555555555555552E-2</v>
      </c>
      <c r="S96" s="12">
        <f t="shared" si="74"/>
        <v>0.1111111111111111</v>
      </c>
      <c r="T96" s="20">
        <f t="shared" si="75"/>
        <v>-0.1111111111111111</v>
      </c>
    </row>
    <row r="97" spans="8:24" x14ac:dyDescent="0.3">
      <c r="H97" s="17">
        <v>0</v>
      </c>
      <c r="I97" s="18">
        <v>-0.16666666666666666</v>
      </c>
      <c r="J97" s="19">
        <v>0.16666666666666666</v>
      </c>
      <c r="L97" s="17">
        <v>0</v>
      </c>
      <c r="M97" s="18">
        <v>0</v>
      </c>
      <c r="N97" s="18">
        <v>0</v>
      </c>
      <c r="O97" s="19">
        <v>0</v>
      </c>
      <c r="Q97" s="21">
        <f t="shared" si="72"/>
        <v>0</v>
      </c>
      <c r="R97" s="21">
        <f t="shared" si="73"/>
        <v>0</v>
      </c>
      <c r="S97" s="21">
        <f t="shared" si="74"/>
        <v>0.1111111111111111</v>
      </c>
      <c r="T97" s="11">
        <f t="shared" si="75"/>
        <v>-0.1111111111111111</v>
      </c>
    </row>
    <row r="99" spans="8:24" x14ac:dyDescent="0.3">
      <c r="J99" t="s">
        <v>41</v>
      </c>
      <c r="K99" t="s">
        <v>42</v>
      </c>
    </row>
    <row r="100" spans="8:24" x14ac:dyDescent="0.3">
      <c r="H100" t="s">
        <v>44</v>
      </c>
      <c r="J100" s="36">
        <f>(C187+C191+C193)/3</f>
        <v>0.66666666666666663</v>
      </c>
      <c r="K100" s="36">
        <f>(C188+C192+C194)/3</f>
        <v>0</v>
      </c>
    </row>
    <row r="101" spans="8:24" x14ac:dyDescent="0.3">
      <c r="H101" t="s">
        <v>39</v>
      </c>
      <c r="L101" t="s">
        <v>45</v>
      </c>
      <c r="Q101" t="s">
        <v>56</v>
      </c>
      <c r="R101" t="s">
        <v>51</v>
      </c>
    </row>
    <row r="102" spans="8:24" x14ac:dyDescent="0.3">
      <c r="H102" s="12">
        <f t="array" ref="H102:J104">P41*MMULT(I46:I48,E50:G50)</f>
        <v>0</v>
      </c>
      <c r="I102" s="13">
        <v>0.16666666666666671</v>
      </c>
      <c r="J102" s="14">
        <v>-0.16666666666666671</v>
      </c>
      <c r="K102">
        <v>1</v>
      </c>
      <c r="L102" s="12">
        <f>$J$100*H102+$K$100*H107</f>
        <v>0</v>
      </c>
      <c r="M102" s="12">
        <f t="shared" ref="M102:N102" si="77">$J$100*I102+$K$100*I107</f>
        <v>0.11111111111111113</v>
      </c>
      <c r="N102" s="20">
        <f t="shared" si="77"/>
        <v>-0.11111111111111113</v>
      </c>
      <c r="Q102" s="12">
        <f>Q94</f>
        <v>-5.5555555555555566E-2</v>
      </c>
      <c r="R102" s="13">
        <f t="shared" ref="R102:T102" si="78">R94</f>
        <v>5.5555555555555566E-2</v>
      </c>
      <c r="S102" s="13">
        <f t="shared" si="78"/>
        <v>0.11111111111111113</v>
      </c>
      <c r="T102" s="13">
        <f t="shared" si="78"/>
        <v>-0.11111111111111113</v>
      </c>
      <c r="U102" s="13">
        <v>0</v>
      </c>
      <c r="V102" s="13">
        <v>0</v>
      </c>
      <c r="W102" s="13">
        <v>0</v>
      </c>
      <c r="X102" s="14">
        <v>0</v>
      </c>
    </row>
    <row r="103" spans="8:24" x14ac:dyDescent="0.3">
      <c r="H103" s="15">
        <v>0</v>
      </c>
      <c r="I103" s="8">
        <v>0.16666666666666666</v>
      </c>
      <c r="J103" s="16">
        <v>-0.16666666666666666</v>
      </c>
      <c r="K103">
        <v>3</v>
      </c>
      <c r="L103" s="12">
        <f t="shared" ref="L103:L104" si="79">$J$100*H103+$K$100*H108</f>
        <v>0</v>
      </c>
      <c r="M103" s="12">
        <f t="shared" ref="M103:M104" si="80">$J$100*I103+$K$100*I108</f>
        <v>0.1111111111111111</v>
      </c>
      <c r="N103" s="20">
        <f t="shared" ref="N103:N104" si="81">$J$100*J103+$K$100*J108</f>
        <v>-0.1111111111111111</v>
      </c>
      <c r="Q103" s="15">
        <f t="shared" ref="Q103:T103" si="82">Q95</f>
        <v>-5.5555555555555552E-2</v>
      </c>
      <c r="R103" s="8">
        <f t="shared" si="82"/>
        <v>5.5555555555555552E-2</v>
      </c>
      <c r="S103" s="8">
        <f t="shared" si="82"/>
        <v>0</v>
      </c>
      <c r="T103" s="8">
        <f t="shared" si="82"/>
        <v>0</v>
      </c>
      <c r="U103" s="8">
        <v>0</v>
      </c>
      <c r="V103" s="8">
        <v>0</v>
      </c>
      <c r="W103" s="8">
        <v>0</v>
      </c>
      <c r="X103" s="16">
        <v>0</v>
      </c>
    </row>
    <row r="104" spans="8:24" x14ac:dyDescent="0.3">
      <c r="H104" s="17">
        <v>0</v>
      </c>
      <c r="I104" s="18">
        <v>0.16666666666666666</v>
      </c>
      <c r="J104" s="19">
        <v>-0.16666666666666666</v>
      </c>
      <c r="K104">
        <v>4</v>
      </c>
      <c r="L104" s="21">
        <f t="shared" si="79"/>
        <v>0</v>
      </c>
      <c r="M104" s="21">
        <f t="shared" si="80"/>
        <v>0.1111111111111111</v>
      </c>
      <c r="N104" s="11">
        <f t="shared" si="81"/>
        <v>-0.1111111111111111</v>
      </c>
      <c r="Q104" s="15">
        <f t="shared" ref="Q104:T104" si="83">Q96</f>
        <v>-5.5555555555555552E-2</v>
      </c>
      <c r="R104" s="8">
        <f t="shared" si="83"/>
        <v>5.5555555555555552E-2</v>
      </c>
      <c r="S104" s="8">
        <f t="shared" si="83"/>
        <v>0.1111111111111111</v>
      </c>
      <c r="T104" s="8">
        <f t="shared" si="83"/>
        <v>-0.1111111111111111</v>
      </c>
      <c r="U104" s="8">
        <v>0</v>
      </c>
      <c r="V104" s="8">
        <v>0</v>
      </c>
      <c r="W104" s="8">
        <v>0</v>
      </c>
      <c r="X104" s="16">
        <v>0</v>
      </c>
    </row>
    <row r="105" spans="8:24" x14ac:dyDescent="0.3">
      <c r="Q105" s="15">
        <f t="shared" ref="Q105:T105" si="84">Q97</f>
        <v>0</v>
      </c>
      <c r="R105" s="8">
        <f t="shared" si="84"/>
        <v>0</v>
      </c>
      <c r="S105" s="8">
        <f t="shared" si="84"/>
        <v>0.1111111111111111</v>
      </c>
      <c r="T105" s="8">
        <f t="shared" si="84"/>
        <v>-0.1111111111111111</v>
      </c>
      <c r="U105" s="8">
        <v>0</v>
      </c>
      <c r="V105" s="8">
        <v>0</v>
      </c>
      <c r="W105" s="8">
        <v>0</v>
      </c>
      <c r="X105" s="16">
        <v>0</v>
      </c>
    </row>
    <row r="106" spans="8:24" x14ac:dyDescent="0.3">
      <c r="H106" t="s">
        <v>40</v>
      </c>
      <c r="L106" s="12">
        <f>L102</f>
        <v>0</v>
      </c>
      <c r="M106" s="12">
        <v>0</v>
      </c>
      <c r="N106" s="12">
        <f>M102</f>
        <v>0.11111111111111113</v>
      </c>
      <c r="O106" s="20">
        <f>N102</f>
        <v>-0.11111111111111113</v>
      </c>
      <c r="Q106" s="15">
        <v>0</v>
      </c>
      <c r="R106" s="8">
        <v>0</v>
      </c>
      <c r="S106" s="8">
        <v>0</v>
      </c>
      <c r="T106" s="8">
        <v>0</v>
      </c>
      <c r="U106" s="8">
        <f>Q94</f>
        <v>-5.5555555555555566E-2</v>
      </c>
      <c r="V106" s="8">
        <f t="shared" ref="V106:X106" si="85">R94</f>
        <v>5.5555555555555566E-2</v>
      </c>
      <c r="W106" s="8">
        <f t="shared" si="85"/>
        <v>0.11111111111111113</v>
      </c>
      <c r="X106" s="16">
        <f t="shared" si="85"/>
        <v>-0.11111111111111113</v>
      </c>
    </row>
    <row r="107" spans="8:24" x14ac:dyDescent="0.3">
      <c r="H107" s="12">
        <f t="array" ref="H107:J109">P41*MMULT(I46:I48,E51:G51)</f>
        <v>-0.16666666666666671</v>
      </c>
      <c r="I107" s="13">
        <v>0</v>
      </c>
      <c r="J107" s="14">
        <v>0.16666666666666671</v>
      </c>
      <c r="L107" s="12">
        <v>0</v>
      </c>
      <c r="M107" s="12">
        <v>0</v>
      </c>
      <c r="N107" s="12">
        <v>0</v>
      </c>
      <c r="O107" s="16">
        <v>0</v>
      </c>
      <c r="Q107" s="15">
        <v>0</v>
      </c>
      <c r="R107" s="8">
        <v>0</v>
      </c>
      <c r="S107" s="8">
        <v>0</v>
      </c>
      <c r="T107" s="8">
        <v>0</v>
      </c>
      <c r="U107" s="8">
        <f t="shared" ref="U107:U109" si="86">Q95</f>
        <v>-5.5555555555555552E-2</v>
      </c>
      <c r="V107" s="8">
        <f t="shared" ref="V107:V108" si="87">R95</f>
        <v>5.5555555555555552E-2</v>
      </c>
      <c r="W107" s="8">
        <f t="shared" ref="W107:W109" si="88">S95</f>
        <v>0</v>
      </c>
      <c r="X107" s="16">
        <f t="shared" ref="X107:X109" si="89">T95</f>
        <v>0</v>
      </c>
    </row>
    <row r="108" spans="8:24" x14ac:dyDescent="0.3">
      <c r="H108" s="15">
        <v>-0.16666666666666666</v>
      </c>
      <c r="I108" s="8">
        <v>0</v>
      </c>
      <c r="J108" s="16">
        <v>0.16666666666666666</v>
      </c>
      <c r="L108" s="12">
        <f>L103</f>
        <v>0</v>
      </c>
      <c r="M108" s="12">
        <v>0</v>
      </c>
      <c r="N108" s="12">
        <f>M103</f>
        <v>0.1111111111111111</v>
      </c>
      <c r="O108" s="20">
        <f>N103</f>
        <v>-0.1111111111111111</v>
      </c>
      <c r="Q108" s="15">
        <v>0</v>
      </c>
      <c r="R108" s="8">
        <v>0</v>
      </c>
      <c r="S108" s="8">
        <v>0</v>
      </c>
      <c r="T108" s="8">
        <v>0</v>
      </c>
      <c r="U108" s="8">
        <f t="shared" si="86"/>
        <v>-5.5555555555555552E-2</v>
      </c>
      <c r="V108" s="8">
        <f t="shared" si="87"/>
        <v>5.5555555555555552E-2</v>
      </c>
      <c r="W108" s="8">
        <f t="shared" si="88"/>
        <v>0.1111111111111111</v>
      </c>
      <c r="X108" s="16">
        <f t="shared" si="89"/>
        <v>-0.1111111111111111</v>
      </c>
    </row>
    <row r="109" spans="8:24" x14ac:dyDescent="0.3">
      <c r="H109" s="17">
        <v>-0.16666666666666666</v>
      </c>
      <c r="I109" s="18">
        <v>0</v>
      </c>
      <c r="J109" s="19">
        <v>0.16666666666666666</v>
      </c>
      <c r="L109" s="21">
        <f>L104</f>
        <v>0</v>
      </c>
      <c r="M109" s="18">
        <v>0</v>
      </c>
      <c r="N109" s="21">
        <f>M104</f>
        <v>0.1111111111111111</v>
      </c>
      <c r="O109" s="11">
        <f>N104</f>
        <v>-0.1111111111111111</v>
      </c>
      <c r="Q109" s="17">
        <v>0</v>
      </c>
      <c r="R109" s="18">
        <v>0</v>
      </c>
      <c r="S109" s="18">
        <v>0</v>
      </c>
      <c r="T109" s="18">
        <v>0</v>
      </c>
      <c r="U109" s="18">
        <f t="shared" si="86"/>
        <v>0</v>
      </c>
      <c r="V109" s="18">
        <v>0</v>
      </c>
      <c r="W109" s="18">
        <f t="shared" si="88"/>
        <v>0.1111111111111111</v>
      </c>
      <c r="X109" s="19">
        <f t="shared" si="89"/>
        <v>-0.1111111111111111</v>
      </c>
    </row>
    <row r="113" spans="11:25" x14ac:dyDescent="0.3">
      <c r="K113" t="s">
        <v>90</v>
      </c>
      <c r="M113" t="s">
        <v>89</v>
      </c>
      <c r="R113" t="s">
        <v>50</v>
      </c>
    </row>
    <row r="114" spans="11:25" x14ac:dyDescent="0.3">
      <c r="K114" s="26">
        <v>1</v>
      </c>
      <c r="L114" s="26"/>
      <c r="M114" s="26">
        <v>2</v>
      </c>
      <c r="N114" s="26"/>
      <c r="O114" s="26">
        <v>3</v>
      </c>
    </row>
    <row r="115" spans="11:25" x14ac:dyDescent="0.3">
      <c r="K115">
        <f>O24</f>
        <v>-1</v>
      </c>
      <c r="L115">
        <f>P24</f>
        <v>0</v>
      </c>
      <c r="M115">
        <f>O25</f>
        <v>1</v>
      </c>
      <c r="N115">
        <f>P25</f>
        <v>-1</v>
      </c>
      <c r="O115">
        <f>O26</f>
        <v>0</v>
      </c>
      <c r="P115">
        <f>P26</f>
        <v>1</v>
      </c>
    </row>
    <row r="116" spans="11:25" x14ac:dyDescent="0.3">
      <c r="K116" t="s">
        <v>46</v>
      </c>
      <c r="R116">
        <v>1</v>
      </c>
      <c r="T116">
        <v>2</v>
      </c>
      <c r="V116">
        <v>3</v>
      </c>
      <c r="X116">
        <v>4</v>
      </c>
    </row>
    <row r="117" spans="11:25" x14ac:dyDescent="0.3">
      <c r="K117" s="21">
        <f t="array" ref="K117">K115*$P$15</f>
        <v>-0.5</v>
      </c>
      <c r="L117" s="24">
        <f t="shared" ref="L117:P117" si="90">L115*$P$15</f>
        <v>0</v>
      </c>
      <c r="M117" s="24">
        <f t="shared" si="90"/>
        <v>0.5</v>
      </c>
      <c r="N117" s="24">
        <f t="shared" si="90"/>
        <v>-0.5</v>
      </c>
      <c r="O117" s="24">
        <f t="shared" si="90"/>
        <v>0</v>
      </c>
      <c r="P117" s="25">
        <f t="shared" si="90"/>
        <v>0.5</v>
      </c>
      <c r="R117" s="21">
        <f>K117</f>
        <v>-0.5</v>
      </c>
      <c r="S117" s="21">
        <f t="shared" ref="S117:W117" si="91">L117</f>
        <v>0</v>
      </c>
      <c r="T117" s="21">
        <f t="shared" si="91"/>
        <v>0.5</v>
      </c>
      <c r="U117" s="21">
        <f t="shared" si="91"/>
        <v>-0.5</v>
      </c>
      <c r="V117" s="21">
        <f t="shared" si="91"/>
        <v>0</v>
      </c>
      <c r="W117" s="21">
        <f t="shared" si="91"/>
        <v>0.5</v>
      </c>
      <c r="X117" s="24">
        <v>0</v>
      </c>
      <c r="Y117" s="25">
        <v>0</v>
      </c>
    </row>
    <row r="119" spans="11:25" x14ac:dyDescent="0.3">
      <c r="K119" s="26">
        <v>1</v>
      </c>
      <c r="L119" s="26"/>
      <c r="M119" s="26">
        <v>3</v>
      </c>
      <c r="N119" s="26"/>
      <c r="O119" s="26">
        <v>4</v>
      </c>
    </row>
    <row r="120" spans="11:25" x14ac:dyDescent="0.3">
      <c r="K120">
        <f>O50</f>
        <v>0</v>
      </c>
      <c r="L120">
        <f>P50</f>
        <v>-1</v>
      </c>
      <c r="M120">
        <f>O51</f>
        <v>1</v>
      </c>
      <c r="N120">
        <f>P51</f>
        <v>0</v>
      </c>
      <c r="O120">
        <f>O52</f>
        <v>-1</v>
      </c>
      <c r="P120">
        <f>P52</f>
        <v>1</v>
      </c>
    </row>
    <row r="121" spans="11:25" x14ac:dyDescent="0.3">
      <c r="K121" t="s">
        <v>47</v>
      </c>
      <c r="R121">
        <v>1</v>
      </c>
      <c r="T121">
        <v>2</v>
      </c>
      <c r="V121">
        <v>3</v>
      </c>
      <c r="X121">
        <v>4</v>
      </c>
    </row>
    <row r="122" spans="11:25" x14ac:dyDescent="0.3">
      <c r="K122" s="21">
        <f>K120*$P$41</f>
        <v>0</v>
      </c>
      <c r="L122" s="24">
        <f t="shared" ref="L122:P122" si="92">L120*$P$41</f>
        <v>-0.5</v>
      </c>
      <c r="M122" s="24">
        <f t="shared" si="92"/>
        <v>0.5</v>
      </c>
      <c r="N122" s="24">
        <f t="shared" si="92"/>
        <v>0</v>
      </c>
      <c r="O122" s="24">
        <f t="shared" si="92"/>
        <v>-0.5</v>
      </c>
      <c r="P122" s="25">
        <f t="shared" si="92"/>
        <v>0.5</v>
      </c>
      <c r="R122" s="21">
        <f>K122</f>
        <v>0</v>
      </c>
      <c r="S122" s="21">
        <f>L122</f>
        <v>-0.5</v>
      </c>
      <c r="T122" s="24">
        <v>0</v>
      </c>
      <c r="U122" s="24">
        <v>0</v>
      </c>
      <c r="V122" s="24">
        <f>M122</f>
        <v>0.5</v>
      </c>
      <c r="W122" s="24">
        <f t="shared" ref="W122:Y122" si="93">N122</f>
        <v>0</v>
      </c>
      <c r="X122" s="24">
        <f t="shared" si="93"/>
        <v>-0.5</v>
      </c>
      <c r="Y122" s="24">
        <f t="shared" si="93"/>
        <v>0.5</v>
      </c>
    </row>
    <row r="124" spans="11:25" x14ac:dyDescent="0.3">
      <c r="K124" t="s">
        <v>48</v>
      </c>
      <c r="L124" t="s">
        <v>49</v>
      </c>
      <c r="T124" t="s">
        <v>23</v>
      </c>
    </row>
    <row r="125" spans="11:25" x14ac:dyDescent="0.3">
      <c r="K125" s="12">
        <f>R117</f>
        <v>-0.5</v>
      </c>
      <c r="L125" s="12">
        <f t="shared" ref="L125:R125" si="94">S117</f>
        <v>0</v>
      </c>
      <c r="M125" s="12">
        <f>T117</f>
        <v>0.5</v>
      </c>
      <c r="N125" s="12">
        <f>U117</f>
        <v>-0.5</v>
      </c>
      <c r="O125" s="12">
        <f t="shared" si="94"/>
        <v>0</v>
      </c>
      <c r="P125" s="12">
        <f t="shared" si="94"/>
        <v>0.5</v>
      </c>
      <c r="Q125" s="12">
        <f t="shared" si="94"/>
        <v>0</v>
      </c>
      <c r="R125" s="12">
        <f t="shared" si="94"/>
        <v>0</v>
      </c>
      <c r="T125" s="12">
        <f t="array" ref="T125:U132">TRANSPOSE(K125:R126)</f>
        <v>-0.5</v>
      </c>
      <c r="U125" s="14">
        <v>0</v>
      </c>
    </row>
    <row r="126" spans="11:25" x14ac:dyDescent="0.3">
      <c r="K126" s="17">
        <f>R122</f>
        <v>0</v>
      </c>
      <c r="L126" s="17">
        <f t="shared" ref="L126:R126" si="95">S122</f>
        <v>-0.5</v>
      </c>
      <c r="M126" s="17">
        <f t="shared" si="95"/>
        <v>0</v>
      </c>
      <c r="N126" s="17">
        <f t="shared" si="95"/>
        <v>0</v>
      </c>
      <c r="O126" s="17">
        <f>V122</f>
        <v>0.5</v>
      </c>
      <c r="P126" s="17">
        <f t="shared" si="95"/>
        <v>0</v>
      </c>
      <c r="Q126" s="17">
        <f t="shared" si="95"/>
        <v>-0.5</v>
      </c>
      <c r="R126" s="17">
        <f t="shared" si="95"/>
        <v>0.5</v>
      </c>
      <c r="T126" s="15">
        <v>0</v>
      </c>
      <c r="U126" s="16">
        <v>-0.5</v>
      </c>
    </row>
    <row r="127" spans="11:25" x14ac:dyDescent="0.3">
      <c r="T127" s="15">
        <v>0.5</v>
      </c>
      <c r="U127" s="16">
        <v>0</v>
      </c>
    </row>
    <row r="128" spans="11:25" x14ac:dyDescent="0.3">
      <c r="T128" s="15">
        <v>-0.5</v>
      </c>
      <c r="U128" s="16">
        <v>0</v>
      </c>
    </row>
    <row r="129" spans="20:21" x14ac:dyDescent="0.3">
      <c r="T129" s="15">
        <v>0</v>
      </c>
      <c r="U129" s="16">
        <v>0.5</v>
      </c>
    </row>
    <row r="130" spans="20:21" x14ac:dyDescent="0.3">
      <c r="T130" s="15">
        <v>0.5</v>
      </c>
      <c r="U130" s="16">
        <v>0</v>
      </c>
    </row>
    <row r="131" spans="20:21" x14ac:dyDescent="0.3">
      <c r="T131" s="15">
        <v>0</v>
      </c>
      <c r="U131" s="16">
        <v>-0.5</v>
      </c>
    </row>
    <row r="132" spans="20:21" x14ac:dyDescent="0.3">
      <c r="T132" s="17">
        <v>0</v>
      </c>
      <c r="U132" s="19">
        <v>0.5</v>
      </c>
    </row>
    <row r="167" spans="11:18" x14ac:dyDescent="0.3">
      <c r="K167" t="s">
        <v>58</v>
      </c>
      <c r="L167" t="s">
        <v>59</v>
      </c>
    </row>
    <row r="168" spans="11:18" x14ac:dyDescent="0.3">
      <c r="K168" t="s">
        <v>61</v>
      </c>
      <c r="N168" t="s">
        <v>58</v>
      </c>
      <c r="Q168" t="s">
        <v>28</v>
      </c>
    </row>
    <row r="169" spans="11:18" x14ac:dyDescent="0.3">
      <c r="K169" s="12">
        <f t="array" ref="K169:L176">MMULT(AL73:AS80,T125:U132)</f>
        <v>-1.4999999999999993</v>
      </c>
      <c r="L169" s="14">
        <v>0</v>
      </c>
      <c r="N169" s="30">
        <f t="array" ref="N169:O170">MMULT(K125:R126,K169:L176)</f>
        <v>4.4999999999999991</v>
      </c>
      <c r="O169" s="31">
        <v>0</v>
      </c>
      <c r="Q169">
        <f t="array" ref="Q169:R170">MINVERSE(N169:O170)</f>
        <v>0.22222222222222227</v>
      </c>
      <c r="R169">
        <v>0</v>
      </c>
    </row>
    <row r="170" spans="11:18" x14ac:dyDescent="0.3">
      <c r="K170" s="15">
        <v>0</v>
      </c>
      <c r="L170" s="16">
        <v>-2.9999999999999996</v>
      </c>
      <c r="N170" s="32">
        <v>0</v>
      </c>
      <c r="O170" s="33">
        <v>4.4999999999999991</v>
      </c>
      <c r="Q170">
        <v>0</v>
      </c>
      <c r="R170">
        <v>0.22222222222222227</v>
      </c>
    </row>
    <row r="171" spans="11:18" x14ac:dyDescent="0.3">
      <c r="K171" s="15">
        <v>1.4999999999999998</v>
      </c>
      <c r="L171" s="16">
        <v>0</v>
      </c>
    </row>
    <row r="172" spans="11:18" x14ac:dyDescent="0.3">
      <c r="K172" s="15">
        <v>-2.9999999999999996</v>
      </c>
      <c r="L172" s="16">
        <v>0</v>
      </c>
    </row>
    <row r="173" spans="11:18" x14ac:dyDescent="0.3">
      <c r="K173" s="15">
        <v>0</v>
      </c>
      <c r="L173" s="16">
        <v>1.4999999999999993</v>
      </c>
    </row>
    <row r="174" spans="11:18" x14ac:dyDescent="0.3">
      <c r="K174" s="15">
        <v>2.9999999999999996</v>
      </c>
      <c r="L174" s="16">
        <v>0</v>
      </c>
    </row>
    <row r="175" spans="11:18" x14ac:dyDescent="0.3">
      <c r="K175" s="15">
        <v>0</v>
      </c>
      <c r="L175" s="16">
        <v>-1.4999999999999998</v>
      </c>
    </row>
    <row r="176" spans="11:18" x14ac:dyDescent="0.3">
      <c r="K176" s="17">
        <v>0</v>
      </c>
      <c r="L176" s="19">
        <v>2.9999999999999996</v>
      </c>
    </row>
    <row r="187" spans="1:7" x14ac:dyDescent="0.3">
      <c r="A187" t="s">
        <v>62</v>
      </c>
      <c r="B187" t="s">
        <v>77</v>
      </c>
      <c r="C187" s="20">
        <v>1</v>
      </c>
      <c r="D187" t="s">
        <v>1</v>
      </c>
      <c r="E187" s="11">
        <f>S3</f>
        <v>0.03</v>
      </c>
      <c r="F187" t="s">
        <v>63</v>
      </c>
      <c r="G187" s="20">
        <v>0</v>
      </c>
    </row>
    <row r="188" spans="1:7" x14ac:dyDescent="0.3">
      <c r="B188" t="s">
        <v>78</v>
      </c>
      <c r="C188" s="34">
        <v>0</v>
      </c>
      <c r="G188" s="34">
        <v>0</v>
      </c>
    </row>
    <row r="189" spans="1:7" x14ac:dyDescent="0.3">
      <c r="B189" t="s">
        <v>79</v>
      </c>
      <c r="C189" s="20">
        <v>0</v>
      </c>
      <c r="G189" s="34">
        <v>0</v>
      </c>
    </row>
    <row r="190" spans="1:7" x14ac:dyDescent="0.3">
      <c r="B190" t="s">
        <v>80</v>
      </c>
      <c r="C190" s="34">
        <v>0</v>
      </c>
      <c r="G190" s="34">
        <v>0</v>
      </c>
    </row>
    <row r="191" spans="1:7" x14ac:dyDescent="0.3">
      <c r="B191" t="s">
        <v>81</v>
      </c>
      <c r="C191" s="34">
        <v>0</v>
      </c>
      <c r="G191" s="34">
        <v>0</v>
      </c>
    </row>
    <row r="192" spans="1:7" x14ac:dyDescent="0.3">
      <c r="B192" t="s">
        <v>82</v>
      </c>
      <c r="C192" s="34">
        <v>0</v>
      </c>
      <c r="G192" s="34">
        <v>0</v>
      </c>
    </row>
    <row r="193" spans="2:15" x14ac:dyDescent="0.3">
      <c r="B193" t="s">
        <v>83</v>
      </c>
      <c r="C193" s="34">
        <v>1</v>
      </c>
      <c r="G193" s="34">
        <v>0</v>
      </c>
    </row>
    <row r="194" spans="2:15" x14ac:dyDescent="0.3">
      <c r="B194" t="s">
        <v>84</v>
      </c>
      <c r="C194" s="35">
        <v>0</v>
      </c>
      <c r="G194" s="35">
        <v>0</v>
      </c>
    </row>
    <row r="195" spans="2:15" x14ac:dyDescent="0.3">
      <c r="C195" t="s">
        <v>64</v>
      </c>
    </row>
    <row r="196" spans="2:15" x14ac:dyDescent="0.3">
      <c r="I196" t="s">
        <v>65</v>
      </c>
      <c r="K196" t="s">
        <v>66</v>
      </c>
      <c r="M196" t="s">
        <v>67</v>
      </c>
      <c r="O196" t="s">
        <v>68</v>
      </c>
    </row>
    <row r="197" spans="2:15" x14ac:dyDescent="0.3">
      <c r="I197" s="20">
        <f t="array" ref="I197:I204">MMULT(Q102:X109,C187:C194)</f>
        <v>-5.5555555555555566E-2</v>
      </c>
      <c r="K197" s="20">
        <f>I197*(-1)</f>
        <v>5.5555555555555566E-2</v>
      </c>
      <c r="M197" s="20">
        <f t="array" ref="M197:M204">(-1)*$S$4*MMULT(W77:AD84,C187:C194)</f>
        <v>-1.1145512985522209E-2</v>
      </c>
      <c r="O197" s="20">
        <f>K197+M197+G187</f>
        <v>4.4410042570033358E-2</v>
      </c>
    </row>
    <row r="198" spans="2:15" x14ac:dyDescent="0.3">
      <c r="I198" s="34">
        <v>-5.5555555555555552E-2</v>
      </c>
      <c r="K198" s="34">
        <f t="shared" ref="K198:K204" si="96">I198*(-1)</f>
        <v>5.5555555555555552E-2</v>
      </c>
      <c r="M198" s="34">
        <v>5.5727564927611044E-3</v>
      </c>
      <c r="O198" s="34">
        <f t="shared" ref="O198:O204" si="97">K198+M198+G188</f>
        <v>6.112831204831666E-2</v>
      </c>
    </row>
    <row r="199" spans="2:15" x14ac:dyDescent="0.3">
      <c r="I199" s="34">
        <v>-5.5555555555555552E-2</v>
      </c>
      <c r="K199" s="34">
        <f t="shared" si="96"/>
        <v>5.5555555555555552E-2</v>
      </c>
      <c r="M199" s="34">
        <v>0</v>
      </c>
      <c r="O199" s="34">
        <f t="shared" si="97"/>
        <v>5.5555555555555552E-2</v>
      </c>
    </row>
    <row r="200" spans="2:15" x14ac:dyDescent="0.3">
      <c r="I200" s="34">
        <v>0</v>
      </c>
      <c r="K200" s="34">
        <f t="shared" si="96"/>
        <v>0</v>
      </c>
      <c r="M200" s="34">
        <v>5.5727564927611044E-3</v>
      </c>
      <c r="O200" s="34">
        <f t="shared" si="97"/>
        <v>5.5727564927611044E-3</v>
      </c>
    </row>
    <row r="201" spans="2:15" x14ac:dyDescent="0.3">
      <c r="I201" s="34">
        <v>0.11111111111111113</v>
      </c>
      <c r="K201" s="34">
        <f t="shared" si="96"/>
        <v>-0.11111111111111113</v>
      </c>
      <c r="M201" s="34">
        <v>0</v>
      </c>
      <c r="O201" s="34">
        <f t="shared" si="97"/>
        <v>-0.11111111111111113</v>
      </c>
    </row>
    <row r="202" spans="2:15" x14ac:dyDescent="0.3">
      <c r="I202" s="34">
        <v>0</v>
      </c>
      <c r="K202" s="34">
        <f t="shared" si="96"/>
        <v>0</v>
      </c>
      <c r="M202" s="34">
        <v>5.5727564927611044E-3</v>
      </c>
      <c r="O202" s="34">
        <f t="shared" si="97"/>
        <v>5.5727564927611044E-3</v>
      </c>
    </row>
    <row r="203" spans="2:15" x14ac:dyDescent="0.3">
      <c r="I203" s="34">
        <v>0.1111111111111111</v>
      </c>
      <c r="K203" s="34">
        <f t="shared" si="96"/>
        <v>-0.1111111111111111</v>
      </c>
      <c r="M203" s="34">
        <v>-1.1145512985522209E-2</v>
      </c>
      <c r="O203" s="34">
        <f t="shared" si="97"/>
        <v>-0.12225662409663332</v>
      </c>
    </row>
    <row r="204" spans="2:15" x14ac:dyDescent="0.3">
      <c r="I204" s="35">
        <v>0.1111111111111111</v>
      </c>
      <c r="K204" s="35">
        <f t="shared" si="96"/>
        <v>-0.1111111111111111</v>
      </c>
      <c r="M204" s="35">
        <v>5.5727564927611044E-3</v>
      </c>
      <c r="O204" s="35">
        <f t="shared" si="97"/>
        <v>-0.10553835461835</v>
      </c>
    </row>
    <row r="207" spans="2:15" x14ac:dyDescent="0.3">
      <c r="I207" t="s">
        <v>69</v>
      </c>
      <c r="K207" t="s">
        <v>70</v>
      </c>
      <c r="M207" t="s">
        <v>71</v>
      </c>
    </row>
    <row r="208" spans="2:15" x14ac:dyDescent="0.3">
      <c r="I208">
        <f t="array" ref="I208:I215">MMULT(AL73:AS80,O197:O204)</f>
        <v>0.13323012771010001</v>
      </c>
      <c r="K208">
        <f t="array" ref="K208">$E$187*I208</f>
        <v>3.996903831303E-3</v>
      </c>
      <c r="M208" s="20">
        <f>C187+K208</f>
        <v>1.003996903831303</v>
      </c>
    </row>
    <row r="209" spans="8:13" x14ac:dyDescent="0.3">
      <c r="I209">
        <v>0.36676987228989993</v>
      </c>
      <c r="K209">
        <f t="shared" ref="K209:K215" si="98">$E$187*I209</f>
        <v>1.1003096168696998E-2</v>
      </c>
      <c r="M209" s="34">
        <f t="shared" ref="M209:M215" si="99">C188+K209</f>
        <v>1.1003096168696998E-2</v>
      </c>
    </row>
    <row r="210" spans="8:13" x14ac:dyDescent="0.3">
      <c r="I210">
        <v>0.16666666666666663</v>
      </c>
      <c r="K210">
        <f t="shared" si="98"/>
        <v>4.9999999999999984E-3</v>
      </c>
      <c r="M210" s="34">
        <f t="shared" si="99"/>
        <v>4.9999999999999984E-3</v>
      </c>
    </row>
    <row r="211" spans="8:13" x14ac:dyDescent="0.3">
      <c r="I211">
        <v>3.3436538956566619E-2</v>
      </c>
      <c r="K211">
        <f t="shared" si="98"/>
        <v>1.0030961686969986E-3</v>
      </c>
      <c r="M211" s="34">
        <f t="shared" si="99"/>
        <v>1.0030961686969986E-3</v>
      </c>
    </row>
    <row r="212" spans="8:13" x14ac:dyDescent="0.3">
      <c r="I212">
        <v>-0.33333333333333326</v>
      </c>
      <c r="K212">
        <f t="shared" si="98"/>
        <v>-9.9999999999999967E-3</v>
      </c>
      <c r="M212" s="34">
        <f t="shared" si="99"/>
        <v>-9.9999999999999967E-3</v>
      </c>
    </row>
    <row r="213" spans="8:13" x14ac:dyDescent="0.3">
      <c r="I213">
        <v>3.3436538956566619E-2</v>
      </c>
      <c r="K213">
        <f t="shared" si="98"/>
        <v>1.0030961686969986E-3</v>
      </c>
      <c r="M213" s="34">
        <f t="shared" si="99"/>
        <v>1.0030961686969986E-3</v>
      </c>
    </row>
    <row r="214" spans="8:13" x14ac:dyDescent="0.3">
      <c r="I214">
        <v>-0.36676987228989993</v>
      </c>
      <c r="K214">
        <f t="shared" si="98"/>
        <v>-1.1003096168696998E-2</v>
      </c>
      <c r="M214" s="34">
        <f t="shared" si="99"/>
        <v>0.98899690383130301</v>
      </c>
    </row>
    <row r="215" spans="8:13" x14ac:dyDescent="0.3">
      <c r="I215">
        <v>-0.6332301277100999</v>
      </c>
      <c r="K215">
        <f t="shared" si="98"/>
        <v>-1.8996903831302998E-2</v>
      </c>
      <c r="M215" s="35">
        <f t="shared" si="99"/>
        <v>-1.8996903831302998E-2</v>
      </c>
    </row>
    <row r="218" spans="8:13" x14ac:dyDescent="0.3">
      <c r="I218" t="s">
        <v>72</v>
      </c>
    </row>
    <row r="219" spans="8:13" x14ac:dyDescent="0.3">
      <c r="I219">
        <f t="array" ref="I219:I220">MMULT(K125:R126,M208:M215)</f>
        <v>-0.49949845191565151</v>
      </c>
    </row>
    <row r="220" spans="8:13" x14ac:dyDescent="0.3">
      <c r="I220">
        <v>-0.51449845191565147</v>
      </c>
    </row>
    <row r="224" spans="8:13" x14ac:dyDescent="0.3">
      <c r="H224" t="s">
        <v>73</v>
      </c>
      <c r="K224">
        <f>15/2</f>
        <v>7.5</v>
      </c>
    </row>
    <row r="225" spans="8:14" x14ac:dyDescent="0.3">
      <c r="H225">
        <f t="array" ref="H225:H226">MMULT(Q169:R170,I219:I220)/$E$187</f>
        <v>-3.6999885327085305</v>
      </c>
      <c r="J225" s="40" t="s">
        <v>111</v>
      </c>
      <c r="M225">
        <f>H225+(7.5-($H$225+$H$226)/2)</f>
        <v>7.5555555555555554</v>
      </c>
    </row>
    <row r="226" spans="8:14" x14ac:dyDescent="0.3">
      <c r="H226">
        <v>-3.8110996438196416</v>
      </c>
      <c r="J226" s="40" t="s">
        <v>112</v>
      </c>
      <c r="M226">
        <f>H226+(7.5-($H$225+$H$226)/2)</f>
        <v>7.4444444444444446</v>
      </c>
    </row>
    <row r="237" spans="8:14" x14ac:dyDescent="0.3">
      <c r="J237" t="s">
        <v>74</v>
      </c>
      <c r="L237" t="s">
        <v>75</v>
      </c>
      <c r="N237" t="s">
        <v>76</v>
      </c>
    </row>
    <row r="238" spans="8:14" x14ac:dyDescent="0.3">
      <c r="J238" s="20">
        <f t="array" ref="J238:J245">MMULT(T125:U132,H225:H226)</f>
        <v>1.8499942663542652</v>
      </c>
      <c r="L238" s="20">
        <f t="array" ref="L238:L245">MMULT(AL73:AS80,J238:J245)</f>
        <v>5.5499827990627928</v>
      </c>
      <c r="N238" s="2">
        <f>M208-$E$187*L238</f>
        <v>0.83749741985941928</v>
      </c>
    </row>
    <row r="239" spans="8:14" x14ac:dyDescent="0.3">
      <c r="J239" s="34">
        <v>1.9055498219098208</v>
      </c>
      <c r="L239" s="34">
        <v>11.433298931458923</v>
      </c>
      <c r="N239" s="2">
        <f t="shared" ref="N239:N245" si="100">M209-$E$187*L239</f>
        <v>-0.33199587177507067</v>
      </c>
    </row>
    <row r="240" spans="8:14" x14ac:dyDescent="0.3">
      <c r="J240" s="34">
        <v>-1.8499942663542652</v>
      </c>
      <c r="L240" s="34">
        <v>-5.5499827990627946</v>
      </c>
      <c r="N240" s="2">
        <f t="shared" si="100"/>
        <v>0.17149948397188383</v>
      </c>
    </row>
    <row r="241" spans="2:14" x14ac:dyDescent="0.3">
      <c r="J241" s="34">
        <v>1.8499942663542652</v>
      </c>
      <c r="L241" s="34">
        <v>11.099965598125589</v>
      </c>
      <c r="N241" s="2">
        <f t="shared" si="100"/>
        <v>-0.33199587177507067</v>
      </c>
    </row>
    <row r="242" spans="2:14" x14ac:dyDescent="0.3">
      <c r="J242" s="34">
        <v>-1.9055498219098208</v>
      </c>
      <c r="L242" s="34">
        <v>-5.7166494657294598</v>
      </c>
      <c r="N242" s="2">
        <f t="shared" si="100"/>
        <v>0.16149948397188377</v>
      </c>
    </row>
    <row r="243" spans="2:14" x14ac:dyDescent="0.3">
      <c r="J243" s="34">
        <v>-1.8499942663542652</v>
      </c>
      <c r="L243" s="34">
        <v>-11.099965598125589</v>
      </c>
      <c r="N243" s="2">
        <f t="shared" si="100"/>
        <v>0.33400206411246464</v>
      </c>
    </row>
    <row r="244" spans="2:14" x14ac:dyDescent="0.3">
      <c r="J244" s="34">
        <v>1.9055498219098208</v>
      </c>
      <c r="L244" s="34">
        <v>5.7166494657294615</v>
      </c>
      <c r="N244" s="2">
        <f t="shared" si="100"/>
        <v>0.81749741985941915</v>
      </c>
    </row>
    <row r="245" spans="2:14" x14ac:dyDescent="0.3">
      <c r="J245" s="35">
        <v>-1.9055498219098208</v>
      </c>
      <c r="L245" s="35">
        <v>-11.433298931458923</v>
      </c>
      <c r="N245" s="2">
        <f t="shared" si="100"/>
        <v>0.32400206411246468</v>
      </c>
    </row>
    <row r="248" spans="2:14" x14ac:dyDescent="0.3">
      <c r="B248" t="s">
        <v>94</v>
      </c>
    </row>
    <row r="272" spans="8:10" x14ac:dyDescent="0.3">
      <c r="H272" t="s">
        <v>95</v>
      </c>
      <c r="J272" t="s">
        <v>96</v>
      </c>
    </row>
    <row r="273" spans="7:10" x14ac:dyDescent="0.3">
      <c r="G273" t="s">
        <v>97</v>
      </c>
      <c r="H273" s="20">
        <f>E24*C187+F24*C189+G24*C191</f>
        <v>-1</v>
      </c>
      <c r="J273" s="20">
        <f>E50*C187+F50*C191+G50*C193</f>
        <v>-1</v>
      </c>
    </row>
    <row r="274" spans="7:10" x14ac:dyDescent="0.3">
      <c r="G274" t="s">
        <v>98</v>
      </c>
      <c r="H274" s="34">
        <f>E25*C187+F25*C189+G25*C191</f>
        <v>0</v>
      </c>
      <c r="J274" s="34">
        <f>E51*C187+F51*C191+G51*C193</f>
        <v>0</v>
      </c>
    </row>
    <row r="275" spans="7:10" x14ac:dyDescent="0.3">
      <c r="G275" t="s">
        <v>99</v>
      </c>
      <c r="H275" s="34">
        <f>E24*C188+F24*C190+G24*C192</f>
        <v>0</v>
      </c>
      <c r="J275" s="34">
        <f>E50*C188+F50*C192+G50*C194</f>
        <v>0</v>
      </c>
    </row>
    <row r="276" spans="7:10" x14ac:dyDescent="0.3">
      <c r="G276" t="s">
        <v>100</v>
      </c>
      <c r="H276" s="34">
        <f>E25*C188+F25*C190+G25*C192</f>
        <v>0</v>
      </c>
      <c r="J276" s="34">
        <f>E51*C188+F51*C192+G51*C194</f>
        <v>0</v>
      </c>
    </row>
    <row r="284" spans="7:10" x14ac:dyDescent="0.3">
      <c r="H284" t="s">
        <v>101</v>
      </c>
    </row>
    <row r="285" spans="7:10" x14ac:dyDescent="0.3">
      <c r="H285">
        <f>(2*H273^2+2*H276^2+(H274+H275)^2)^0.5</f>
        <v>1.4142135623730951</v>
      </c>
      <c r="J285">
        <f>(2*J273^2+2*J276^2+(J274+J275)^2)^0.5</f>
        <v>1.4142135623730951</v>
      </c>
    </row>
    <row r="287" spans="7:10" ht="20.399999999999999" x14ac:dyDescent="0.3">
      <c r="G287" s="37" t="s">
        <v>102</v>
      </c>
      <c r="H287">
        <f>(G11+G12+G13)/3</f>
        <v>0.33333333333333331</v>
      </c>
      <c r="J287">
        <f>(G37+G38+G39)/3</f>
        <v>0.66666666666666663</v>
      </c>
    </row>
    <row r="288" spans="7:10" ht="20.399999999999999" x14ac:dyDescent="0.3">
      <c r="G288" s="39" t="s">
        <v>103</v>
      </c>
      <c r="H288">
        <f>1</f>
        <v>1</v>
      </c>
      <c r="J288">
        <f>1</f>
        <v>1</v>
      </c>
    </row>
    <row r="289" spans="7:10" x14ac:dyDescent="0.3">
      <c r="G289" t="s">
        <v>104</v>
      </c>
      <c r="H289">
        <f>MIN(0.4*H287,0.09*H288)</f>
        <v>0.09</v>
      </c>
      <c r="J289">
        <f>MIN(0.4*J287,0.09*J288)</f>
        <v>0.09</v>
      </c>
    </row>
    <row r="290" spans="7:10" x14ac:dyDescent="0.3">
      <c r="G290" t="s">
        <v>105</v>
      </c>
      <c r="H290">
        <f>H289^2</f>
        <v>8.0999999999999996E-3</v>
      </c>
      <c r="J290">
        <f>J289^2</f>
        <v>8.0999999999999996E-3</v>
      </c>
    </row>
    <row r="291" spans="7:10" x14ac:dyDescent="0.3">
      <c r="G291" s="38" t="s">
        <v>106</v>
      </c>
      <c r="H291">
        <f>$S$2*H290*H285</f>
        <v>1.145512985522207E-2</v>
      </c>
      <c r="J291">
        <f>$S$2*J290*J285</f>
        <v>1.145512985522207E-2</v>
      </c>
    </row>
    <row r="294" spans="7:10" x14ac:dyDescent="0.3">
      <c r="G294" t="s">
        <v>107</v>
      </c>
      <c r="H294">
        <f>$S$4+H291</f>
        <v>0.11145512985522207</v>
      </c>
      <c r="J294">
        <f>$S$4+J291</f>
        <v>0.11145512985522207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2:AS294"/>
  <sheetViews>
    <sheetView topLeftCell="C220" workbookViewId="0">
      <selection activeCell="R238" sqref="R238"/>
    </sheetView>
  </sheetViews>
  <sheetFormatPr defaultRowHeight="14.4" x14ac:dyDescent="0.3"/>
  <cols>
    <col min="8" max="8" width="12.6640625" bestFit="1" customWidth="1"/>
    <col min="9" max="9" width="11.109375" customWidth="1"/>
    <col min="10" max="10" width="12.6640625" bestFit="1" customWidth="1"/>
    <col min="12" max="12" width="12.6640625" bestFit="1" customWidth="1"/>
  </cols>
  <sheetData>
    <row r="2" spans="2:22" x14ac:dyDescent="0.3">
      <c r="R2" t="s">
        <v>0</v>
      </c>
      <c r="S2">
        <v>1</v>
      </c>
    </row>
    <row r="3" spans="2:22" x14ac:dyDescent="0.3">
      <c r="R3" t="s">
        <v>1</v>
      </c>
      <c r="S3">
        <v>0.03</v>
      </c>
    </row>
    <row r="4" spans="2:22" x14ac:dyDescent="0.3">
      <c r="D4" t="s">
        <v>4</v>
      </c>
      <c r="E4" t="s">
        <v>5</v>
      </c>
      <c r="R4" t="s">
        <v>2</v>
      </c>
      <c r="S4">
        <v>0.1</v>
      </c>
      <c r="U4" t="s">
        <v>3</v>
      </c>
    </row>
    <row r="5" spans="2:22" x14ac:dyDescent="0.3">
      <c r="C5">
        <v>1</v>
      </c>
      <c r="D5" s="12">
        <v>0</v>
      </c>
      <c r="E5" s="14">
        <v>0</v>
      </c>
    </row>
    <row r="6" spans="2:22" x14ac:dyDescent="0.3">
      <c r="C6">
        <v>2</v>
      </c>
      <c r="D6" s="15">
        <v>1</v>
      </c>
      <c r="E6" s="16">
        <v>0</v>
      </c>
    </row>
    <row r="7" spans="2:22" x14ac:dyDescent="0.3">
      <c r="C7">
        <v>3</v>
      </c>
      <c r="D7" s="15">
        <v>1</v>
      </c>
      <c r="E7" s="16">
        <v>1</v>
      </c>
    </row>
    <row r="8" spans="2:22" x14ac:dyDescent="0.3">
      <c r="C8">
        <v>4</v>
      </c>
      <c r="D8" s="17">
        <v>0</v>
      </c>
      <c r="E8" s="19">
        <v>1</v>
      </c>
    </row>
    <row r="10" spans="2:22" x14ac:dyDescent="0.3">
      <c r="B10" t="s">
        <v>32</v>
      </c>
      <c r="F10" t="s">
        <v>4</v>
      </c>
      <c r="G10" t="s">
        <v>5</v>
      </c>
    </row>
    <row r="11" spans="2:22" x14ac:dyDescent="0.3">
      <c r="E11">
        <v>1</v>
      </c>
      <c r="F11" s="12">
        <f t="shared" ref="F11:G13" si="0">D5</f>
        <v>0</v>
      </c>
      <c r="G11" s="14">
        <f t="shared" si="0"/>
        <v>0</v>
      </c>
    </row>
    <row r="12" spans="2:22" x14ac:dyDescent="0.3">
      <c r="B12" t="s">
        <v>6</v>
      </c>
      <c r="E12">
        <v>2</v>
      </c>
      <c r="F12" s="15">
        <f t="shared" si="0"/>
        <v>1</v>
      </c>
      <c r="G12" s="16">
        <f t="shared" si="0"/>
        <v>0</v>
      </c>
    </row>
    <row r="13" spans="2:22" x14ac:dyDescent="0.3">
      <c r="B13" s="4"/>
      <c r="C13" s="4"/>
      <c r="D13" s="4"/>
      <c r="E13">
        <v>3</v>
      </c>
      <c r="F13" s="17">
        <f t="shared" si="0"/>
        <v>1</v>
      </c>
      <c r="G13" s="19">
        <f t="shared" si="0"/>
        <v>1</v>
      </c>
      <c r="K13" s="4"/>
      <c r="L13" s="4"/>
      <c r="M13" s="4"/>
      <c r="N13" s="4"/>
    </row>
    <row r="14" spans="2:22" ht="15" thickBot="1" x14ac:dyDescent="0.35">
      <c r="B14" t="s">
        <v>7</v>
      </c>
      <c r="C14" t="s">
        <v>8</v>
      </c>
      <c r="E14" t="s">
        <v>9</v>
      </c>
      <c r="J14" t="s">
        <v>10</v>
      </c>
      <c r="K14" s="4"/>
      <c r="N14" t="s">
        <v>11</v>
      </c>
      <c r="P14" t="s">
        <v>12</v>
      </c>
      <c r="R14" s="22" t="s">
        <v>29</v>
      </c>
      <c r="U14" t="s">
        <v>30</v>
      </c>
    </row>
    <row r="15" spans="2:22" x14ac:dyDescent="0.3">
      <c r="B15" s="5" t="s">
        <v>13</v>
      </c>
      <c r="C15" s="4">
        <f>1/3</f>
        <v>0.33333333333333331</v>
      </c>
      <c r="D15" s="4"/>
      <c r="E15" s="6">
        <v>-1</v>
      </c>
      <c r="F15" s="7">
        <v>1</v>
      </c>
      <c r="G15" s="1">
        <v>0</v>
      </c>
      <c r="H15" s="8"/>
      <c r="J15" s="6">
        <f t="array" ref="J15:K16">MMULT(E15:G16,F11:G13)</f>
        <v>1</v>
      </c>
      <c r="K15" s="1">
        <v>0</v>
      </c>
      <c r="L15" s="8"/>
      <c r="N15">
        <f>MDETERM(J15:K16)</f>
        <v>1</v>
      </c>
      <c r="P15">
        <f>N15*0.5</f>
        <v>0.5</v>
      </c>
      <c r="Q15" t="s">
        <v>31</v>
      </c>
      <c r="U15" s="11">
        <f t="array" ref="U15:V16">MINVERSE(J15:K16)</f>
        <v>1</v>
      </c>
      <c r="V15" s="11">
        <v>0</v>
      </c>
    </row>
    <row r="16" spans="2:22" ht="15" thickBot="1" x14ac:dyDescent="0.35">
      <c r="B16" s="5" t="s">
        <v>14</v>
      </c>
      <c r="C16" s="4">
        <f>1/3</f>
        <v>0.33333333333333331</v>
      </c>
      <c r="D16" s="4"/>
      <c r="E16" s="9">
        <v>-1</v>
      </c>
      <c r="F16" s="10">
        <v>0</v>
      </c>
      <c r="G16" s="3">
        <v>1</v>
      </c>
      <c r="H16" s="8"/>
      <c r="J16" s="9">
        <v>1</v>
      </c>
      <c r="K16" s="3">
        <v>1</v>
      </c>
      <c r="L16" s="8"/>
      <c r="U16" s="11">
        <v>-1</v>
      </c>
      <c r="V16" s="11">
        <v>1</v>
      </c>
    </row>
    <row r="17" spans="2:28" x14ac:dyDescent="0.3">
      <c r="B17" s="5"/>
      <c r="C17" s="4"/>
      <c r="D17" s="4"/>
      <c r="E17" s="8"/>
      <c r="F17" s="8"/>
      <c r="G17" s="8"/>
      <c r="H17" s="8"/>
      <c r="J17" s="8"/>
      <c r="K17" s="8"/>
      <c r="L17" s="8"/>
    </row>
    <row r="19" spans="2:28" x14ac:dyDescent="0.3">
      <c r="E19" s="4" t="s">
        <v>15</v>
      </c>
      <c r="F19" s="4" t="s">
        <v>16</v>
      </c>
      <c r="G19" s="4" t="s">
        <v>17</v>
      </c>
      <c r="H19" s="4"/>
      <c r="I19" s="4" t="s">
        <v>18</v>
      </c>
      <c r="J19" s="4"/>
      <c r="K19" s="4" t="s">
        <v>19</v>
      </c>
      <c r="L19" s="4"/>
      <c r="O19" t="s">
        <v>20</v>
      </c>
    </row>
    <row r="20" spans="2:28" x14ac:dyDescent="0.3">
      <c r="E20" s="4">
        <f>1-C15-C16</f>
        <v>0.33333333333333343</v>
      </c>
      <c r="F20" s="4">
        <f>C15</f>
        <v>0.33333333333333331</v>
      </c>
      <c r="G20" s="4">
        <f>C16</f>
        <v>0.33333333333333331</v>
      </c>
      <c r="H20" s="4"/>
      <c r="I20">
        <f t="array" ref="I20:I22">TRANSPOSE(E20:G20)</f>
        <v>0.33333333333333343</v>
      </c>
      <c r="K20">
        <f t="array" ref="K20:M22">MMULT(I20:I22,E20:G20)</f>
        <v>0.11111111111111117</v>
      </c>
      <c r="L20">
        <v>0.11111111111111113</v>
      </c>
      <c r="M20">
        <v>0.11111111111111113</v>
      </c>
      <c r="O20">
        <f>K20*$P$15</f>
        <v>5.5555555555555587E-2</v>
      </c>
      <c r="P20">
        <f t="shared" ref="P20:Q22" si="1">L20*$P$15</f>
        <v>5.5555555555555566E-2</v>
      </c>
      <c r="Q20">
        <f t="shared" si="1"/>
        <v>5.5555555555555566E-2</v>
      </c>
    </row>
    <row r="21" spans="2:28" x14ac:dyDescent="0.3">
      <c r="E21" t="s">
        <v>21</v>
      </c>
      <c r="I21">
        <v>0.33333333333333331</v>
      </c>
      <c r="K21">
        <v>0.11111111111111113</v>
      </c>
      <c r="L21">
        <v>0.1111111111111111</v>
      </c>
      <c r="M21">
        <v>0.1111111111111111</v>
      </c>
      <c r="O21">
        <f t="shared" ref="O21:O22" si="2">K21*$P$15</f>
        <v>5.5555555555555566E-2</v>
      </c>
      <c r="P21">
        <f t="shared" si="1"/>
        <v>5.5555555555555552E-2</v>
      </c>
      <c r="Q21">
        <f t="shared" si="1"/>
        <v>5.5555555555555552E-2</v>
      </c>
    </row>
    <row r="22" spans="2:28" x14ac:dyDescent="0.3">
      <c r="E22" s="4">
        <f>SUM(E20:G20)</f>
        <v>1</v>
      </c>
      <c r="I22">
        <v>0.33333333333333331</v>
      </c>
      <c r="K22">
        <v>0.11111111111111113</v>
      </c>
      <c r="L22">
        <v>0.1111111111111111</v>
      </c>
      <c r="M22">
        <v>0.1111111111111111</v>
      </c>
      <c r="O22">
        <f t="shared" si="2"/>
        <v>5.5555555555555566E-2</v>
      </c>
      <c r="P22">
        <f t="shared" si="1"/>
        <v>5.5555555555555552E-2</v>
      </c>
      <c r="Q22">
        <f t="shared" si="1"/>
        <v>5.5555555555555552E-2</v>
      </c>
    </row>
    <row r="23" spans="2:28" x14ac:dyDescent="0.3">
      <c r="V23" t="s">
        <v>26</v>
      </c>
    </row>
    <row r="24" spans="2:28" x14ac:dyDescent="0.3">
      <c r="E24" s="11">
        <f t="array" ref="E24:E25">MMULT($U$15:$V$16,E15:E16)</f>
        <v>-1</v>
      </c>
      <c r="F24" s="11">
        <f t="array" ref="F24:F25">MMULT($U$15:$V$16,F15:F16)</f>
        <v>1</v>
      </c>
      <c r="G24" s="11">
        <f t="array" ref="G24:G25">MMULT($U$15:$V$16,G15:G16)</f>
        <v>0</v>
      </c>
      <c r="O24" s="12">
        <f t="array" ref="O24:P26">TRANSPOSE(E24:G25)</f>
        <v>-1</v>
      </c>
      <c r="P24" s="14">
        <v>0</v>
      </c>
      <c r="R24" s="12">
        <f t="array" ref="R24:T26">MMULT(O24:P26,E24:G25)</f>
        <v>1</v>
      </c>
      <c r="S24" s="13">
        <v>-1</v>
      </c>
      <c r="T24" s="14">
        <v>0</v>
      </c>
      <c r="V24" s="12">
        <f>R24*$P$15</f>
        <v>0.5</v>
      </c>
      <c r="W24" s="13">
        <f t="shared" ref="W24:X26" si="3">S24*$P$15</f>
        <v>-0.5</v>
      </c>
      <c r="X24" s="14">
        <f t="shared" si="3"/>
        <v>0</v>
      </c>
    </row>
    <row r="25" spans="2:28" x14ac:dyDescent="0.3">
      <c r="D25" s="4"/>
      <c r="E25" s="11">
        <v>0</v>
      </c>
      <c r="F25" s="11">
        <v>-1</v>
      </c>
      <c r="G25" s="11">
        <v>1</v>
      </c>
      <c r="O25" s="15">
        <v>1</v>
      </c>
      <c r="P25" s="16">
        <v>-1</v>
      </c>
      <c r="R25" s="15">
        <v>-1</v>
      </c>
      <c r="S25" s="8">
        <v>2</v>
      </c>
      <c r="T25" s="16">
        <v>-1</v>
      </c>
      <c r="V25" s="15">
        <f t="shared" ref="V25:V26" si="4">R25*$P$15</f>
        <v>-0.5</v>
      </c>
      <c r="W25" s="8">
        <f t="shared" si="3"/>
        <v>1</v>
      </c>
      <c r="X25" s="16">
        <f t="shared" si="3"/>
        <v>-0.5</v>
      </c>
    </row>
    <row r="26" spans="2:28" x14ac:dyDescent="0.3">
      <c r="D26" s="4"/>
      <c r="O26" s="17">
        <v>0</v>
      </c>
      <c r="P26" s="19">
        <v>1</v>
      </c>
      <c r="R26" s="17">
        <v>0</v>
      </c>
      <c r="S26" s="18">
        <v>-1</v>
      </c>
      <c r="T26" s="19">
        <v>1</v>
      </c>
      <c r="V26" s="17">
        <f t="shared" si="4"/>
        <v>0</v>
      </c>
      <c r="W26" s="18">
        <f t="shared" si="3"/>
        <v>-0.5</v>
      </c>
      <c r="X26" s="19">
        <f t="shared" si="3"/>
        <v>0.5</v>
      </c>
    </row>
    <row r="27" spans="2:28" x14ac:dyDescent="0.3">
      <c r="D27" s="4"/>
      <c r="E27" t="s">
        <v>22</v>
      </c>
      <c r="L27" t="s">
        <v>23</v>
      </c>
      <c r="P27" t="s">
        <v>24</v>
      </c>
      <c r="W27" t="s">
        <v>25</v>
      </c>
    </row>
    <row r="28" spans="2:28" x14ac:dyDescent="0.3">
      <c r="E28" s="12">
        <f>E24</f>
        <v>-1</v>
      </c>
      <c r="F28" s="13">
        <v>0</v>
      </c>
      <c r="G28" s="13">
        <f>F24</f>
        <v>1</v>
      </c>
      <c r="H28" s="13">
        <v>0</v>
      </c>
      <c r="I28" s="13">
        <f>G24</f>
        <v>0</v>
      </c>
      <c r="J28" s="14">
        <v>0</v>
      </c>
      <c r="L28" s="12">
        <f t="array" ref="L28:N33">TRANSPOSE(E28:J30)</f>
        <v>-1</v>
      </c>
      <c r="M28" s="13">
        <v>0</v>
      </c>
      <c r="N28" s="14">
        <v>0</v>
      </c>
      <c r="P28" s="12">
        <f t="array" ref="P28:U33">MMULT(L28:N33,E28:J30)</f>
        <v>1</v>
      </c>
      <c r="Q28" s="13">
        <v>0</v>
      </c>
      <c r="R28" s="13">
        <v>-1</v>
      </c>
      <c r="S28" s="13">
        <v>0</v>
      </c>
      <c r="T28" s="13">
        <v>0</v>
      </c>
      <c r="U28" s="14">
        <v>0</v>
      </c>
      <c r="W28" s="12">
        <f>P28*$P$15</f>
        <v>0.5</v>
      </c>
      <c r="X28" s="13">
        <f t="shared" ref="X28:AB33" si="5">Q28*$P$15</f>
        <v>0</v>
      </c>
      <c r="Y28" s="13">
        <f t="shared" si="5"/>
        <v>-0.5</v>
      </c>
      <c r="Z28" s="13">
        <f t="shared" si="5"/>
        <v>0</v>
      </c>
      <c r="AA28" s="13">
        <f t="shared" si="5"/>
        <v>0</v>
      </c>
      <c r="AB28" s="14">
        <f t="shared" si="5"/>
        <v>0</v>
      </c>
    </row>
    <row r="29" spans="2:28" x14ac:dyDescent="0.3">
      <c r="E29" s="15">
        <v>0</v>
      </c>
      <c r="F29" s="8">
        <f>E25</f>
        <v>0</v>
      </c>
      <c r="G29" s="8">
        <v>0</v>
      </c>
      <c r="H29" s="8">
        <f>F25</f>
        <v>-1</v>
      </c>
      <c r="I29" s="8">
        <v>0</v>
      </c>
      <c r="J29" s="16">
        <f>G25</f>
        <v>1</v>
      </c>
      <c r="L29" s="15">
        <v>0</v>
      </c>
      <c r="M29" s="8">
        <v>0</v>
      </c>
      <c r="N29" s="16">
        <v>-1</v>
      </c>
      <c r="P29" s="15">
        <v>0</v>
      </c>
      <c r="Q29" s="8">
        <v>1</v>
      </c>
      <c r="R29" s="8">
        <v>1</v>
      </c>
      <c r="S29" s="8">
        <v>-1</v>
      </c>
      <c r="T29" s="8">
        <v>-1</v>
      </c>
      <c r="U29" s="16">
        <v>0</v>
      </c>
      <c r="W29" s="15">
        <f t="shared" ref="W29:W33" si="6">P29*$P$15</f>
        <v>0</v>
      </c>
      <c r="X29" s="8">
        <f t="shared" si="5"/>
        <v>0.5</v>
      </c>
      <c r="Y29" s="8">
        <f t="shared" si="5"/>
        <v>0.5</v>
      </c>
      <c r="Z29" s="8">
        <f t="shared" si="5"/>
        <v>-0.5</v>
      </c>
      <c r="AA29" s="8">
        <f t="shared" si="5"/>
        <v>-0.5</v>
      </c>
      <c r="AB29" s="16">
        <f t="shared" si="5"/>
        <v>0</v>
      </c>
    </row>
    <row r="30" spans="2:28" x14ac:dyDescent="0.3">
      <c r="E30" s="17">
        <f>E25</f>
        <v>0</v>
      </c>
      <c r="F30" s="18">
        <f>E24</f>
        <v>-1</v>
      </c>
      <c r="G30" s="18">
        <f>F25</f>
        <v>-1</v>
      </c>
      <c r="H30" s="18">
        <f>F24</f>
        <v>1</v>
      </c>
      <c r="I30" s="18">
        <f>G25</f>
        <v>1</v>
      </c>
      <c r="J30" s="19">
        <f>G24</f>
        <v>0</v>
      </c>
      <c r="L30" s="15">
        <v>1</v>
      </c>
      <c r="M30" s="8">
        <v>0</v>
      </c>
      <c r="N30" s="16">
        <v>-1</v>
      </c>
      <c r="P30" s="15">
        <v>-1</v>
      </c>
      <c r="Q30" s="8">
        <v>1</v>
      </c>
      <c r="R30" s="8">
        <v>2</v>
      </c>
      <c r="S30" s="8">
        <v>-1</v>
      </c>
      <c r="T30" s="8">
        <v>-1</v>
      </c>
      <c r="U30" s="16">
        <v>0</v>
      </c>
      <c r="W30" s="15">
        <f t="shared" si="6"/>
        <v>-0.5</v>
      </c>
      <c r="X30" s="8">
        <f t="shared" si="5"/>
        <v>0.5</v>
      </c>
      <c r="Y30" s="8">
        <f t="shared" si="5"/>
        <v>1</v>
      </c>
      <c r="Z30" s="8">
        <f t="shared" si="5"/>
        <v>-0.5</v>
      </c>
      <c r="AA30" s="8">
        <f t="shared" si="5"/>
        <v>-0.5</v>
      </c>
      <c r="AB30" s="16">
        <f t="shared" si="5"/>
        <v>0</v>
      </c>
    </row>
    <row r="31" spans="2:28" x14ac:dyDescent="0.3">
      <c r="L31" s="15">
        <v>0</v>
      </c>
      <c r="M31" s="8">
        <v>-1</v>
      </c>
      <c r="N31" s="16">
        <v>1</v>
      </c>
      <c r="P31" s="15">
        <v>0</v>
      </c>
      <c r="Q31" s="8">
        <v>-1</v>
      </c>
      <c r="R31" s="8">
        <v>-1</v>
      </c>
      <c r="S31" s="8">
        <v>2</v>
      </c>
      <c r="T31" s="8">
        <v>1</v>
      </c>
      <c r="U31" s="16">
        <v>-1</v>
      </c>
      <c r="W31" s="15">
        <f t="shared" si="6"/>
        <v>0</v>
      </c>
      <c r="X31" s="8">
        <f t="shared" si="5"/>
        <v>-0.5</v>
      </c>
      <c r="Y31" s="8">
        <f t="shared" si="5"/>
        <v>-0.5</v>
      </c>
      <c r="Z31" s="8">
        <f t="shared" si="5"/>
        <v>1</v>
      </c>
      <c r="AA31" s="8">
        <f t="shared" si="5"/>
        <v>0.5</v>
      </c>
      <c r="AB31" s="16">
        <f t="shared" si="5"/>
        <v>-0.5</v>
      </c>
    </row>
    <row r="32" spans="2:28" x14ac:dyDescent="0.3">
      <c r="L32" s="15">
        <v>0</v>
      </c>
      <c r="M32" s="8">
        <v>0</v>
      </c>
      <c r="N32" s="16">
        <v>1</v>
      </c>
      <c r="P32" s="15">
        <v>0</v>
      </c>
      <c r="Q32" s="8">
        <v>-1</v>
      </c>
      <c r="R32" s="8">
        <v>-1</v>
      </c>
      <c r="S32" s="8">
        <v>1</v>
      </c>
      <c r="T32" s="8">
        <v>1</v>
      </c>
      <c r="U32" s="16">
        <v>0</v>
      </c>
      <c r="W32" s="15">
        <f t="shared" si="6"/>
        <v>0</v>
      </c>
      <c r="X32" s="8">
        <f t="shared" si="5"/>
        <v>-0.5</v>
      </c>
      <c r="Y32" s="8">
        <f t="shared" si="5"/>
        <v>-0.5</v>
      </c>
      <c r="Z32" s="8">
        <f t="shared" si="5"/>
        <v>0.5</v>
      </c>
      <c r="AA32" s="8">
        <f t="shared" si="5"/>
        <v>0.5</v>
      </c>
      <c r="AB32" s="16">
        <f t="shared" si="5"/>
        <v>0</v>
      </c>
    </row>
    <row r="33" spans="2:28" x14ac:dyDescent="0.3">
      <c r="L33" s="17">
        <v>0</v>
      </c>
      <c r="M33" s="18">
        <v>1</v>
      </c>
      <c r="N33" s="19">
        <v>0</v>
      </c>
      <c r="P33" s="17">
        <v>0</v>
      </c>
      <c r="Q33" s="18">
        <v>0</v>
      </c>
      <c r="R33" s="18">
        <v>0</v>
      </c>
      <c r="S33" s="18">
        <v>-1</v>
      </c>
      <c r="T33" s="18">
        <v>0</v>
      </c>
      <c r="U33" s="19">
        <v>1</v>
      </c>
      <c r="W33" s="17">
        <f t="shared" si="6"/>
        <v>0</v>
      </c>
      <c r="X33" s="18">
        <f t="shared" si="5"/>
        <v>0</v>
      </c>
      <c r="Y33" s="18">
        <f t="shared" si="5"/>
        <v>0</v>
      </c>
      <c r="Z33" s="18">
        <f t="shared" si="5"/>
        <v>-0.5</v>
      </c>
      <c r="AA33" s="18">
        <f t="shared" si="5"/>
        <v>0</v>
      </c>
      <c r="AB33" s="19">
        <f t="shared" si="5"/>
        <v>0.5</v>
      </c>
    </row>
    <row r="36" spans="2:28" x14ac:dyDescent="0.3">
      <c r="B36" t="s">
        <v>33</v>
      </c>
      <c r="F36" t="s">
        <v>4</v>
      </c>
      <c r="G36" t="s">
        <v>5</v>
      </c>
    </row>
    <row r="37" spans="2:28" x14ac:dyDescent="0.3">
      <c r="E37">
        <v>1</v>
      </c>
      <c r="F37" s="12">
        <f>D5</f>
        <v>0</v>
      </c>
      <c r="G37" s="12">
        <f>E5</f>
        <v>0</v>
      </c>
    </row>
    <row r="38" spans="2:28" x14ac:dyDescent="0.3">
      <c r="B38" t="s">
        <v>6</v>
      </c>
      <c r="E38">
        <v>3</v>
      </c>
      <c r="F38" s="15">
        <f>D7</f>
        <v>1</v>
      </c>
      <c r="G38" s="15">
        <f>E7</f>
        <v>1</v>
      </c>
    </row>
    <row r="39" spans="2:28" x14ac:dyDescent="0.3">
      <c r="B39" s="4"/>
      <c r="C39" s="4"/>
      <c r="D39" s="4"/>
      <c r="E39">
        <v>4</v>
      </c>
      <c r="F39" s="17">
        <f>D8</f>
        <v>0</v>
      </c>
      <c r="G39" s="17">
        <f>E8</f>
        <v>1</v>
      </c>
      <c r="K39" s="4"/>
      <c r="L39" s="4"/>
      <c r="M39" s="4"/>
      <c r="N39" s="4"/>
    </row>
    <row r="40" spans="2:28" ht="15" thickBot="1" x14ac:dyDescent="0.35">
      <c r="B40" t="s">
        <v>7</v>
      </c>
      <c r="C40" t="s">
        <v>8</v>
      </c>
      <c r="E40" t="s">
        <v>9</v>
      </c>
      <c r="J40" t="s">
        <v>10</v>
      </c>
      <c r="K40" s="4"/>
      <c r="N40" t="s">
        <v>11</v>
      </c>
      <c r="P40" t="s">
        <v>12</v>
      </c>
      <c r="R40" s="22" t="s">
        <v>29</v>
      </c>
      <c r="U40" t="s">
        <v>30</v>
      </c>
    </row>
    <row r="41" spans="2:28" x14ac:dyDescent="0.3">
      <c r="B41" s="5" t="s">
        <v>13</v>
      </c>
      <c r="C41" s="4">
        <f>1/3</f>
        <v>0.33333333333333331</v>
      </c>
      <c r="D41" s="4"/>
      <c r="E41" s="6">
        <v>-1</v>
      </c>
      <c r="F41" s="7">
        <v>1</v>
      </c>
      <c r="G41" s="1">
        <v>0</v>
      </c>
      <c r="H41" s="8"/>
      <c r="J41" s="6">
        <f t="array" ref="J41:K42">MMULT(E41:G42,F37:G39)</f>
        <v>1</v>
      </c>
      <c r="K41" s="1">
        <v>1</v>
      </c>
      <c r="L41" s="8"/>
      <c r="N41">
        <f>MDETERM(J41:K42)</f>
        <v>1</v>
      </c>
      <c r="P41">
        <f>N41*0.5</f>
        <v>0.5</v>
      </c>
      <c r="Q41" t="s">
        <v>31</v>
      </c>
      <c r="U41" s="11">
        <f t="array" ref="U41:V42">MINVERSE(J41:K42)</f>
        <v>1</v>
      </c>
      <c r="V41" s="11">
        <v>-1</v>
      </c>
    </row>
    <row r="42" spans="2:28" ht="15" thickBot="1" x14ac:dyDescent="0.35">
      <c r="B42" s="5" t="s">
        <v>14</v>
      </c>
      <c r="C42" s="4">
        <f>1/3</f>
        <v>0.33333333333333331</v>
      </c>
      <c r="D42" s="4"/>
      <c r="E42" s="9">
        <v>-1</v>
      </c>
      <c r="F42" s="10">
        <v>0</v>
      </c>
      <c r="G42" s="3">
        <v>1</v>
      </c>
      <c r="H42" s="8"/>
      <c r="J42" s="9">
        <v>0</v>
      </c>
      <c r="K42" s="3">
        <v>1</v>
      </c>
      <c r="L42" s="8"/>
      <c r="U42" s="11">
        <v>0</v>
      </c>
      <c r="V42" s="11">
        <v>1</v>
      </c>
    </row>
    <row r="43" spans="2:28" x14ac:dyDescent="0.3">
      <c r="B43" s="5"/>
      <c r="C43" s="4"/>
      <c r="D43" s="4"/>
      <c r="E43" s="8"/>
      <c r="F43" s="8"/>
      <c r="G43" s="8"/>
      <c r="H43" s="8"/>
      <c r="J43" s="8"/>
      <c r="K43" s="8"/>
      <c r="L43" s="8"/>
    </row>
    <row r="45" spans="2:28" x14ac:dyDescent="0.3">
      <c r="E45" s="4" t="s">
        <v>15</v>
      </c>
      <c r="F45" s="4" t="s">
        <v>16</v>
      </c>
      <c r="G45" s="4" t="s">
        <v>17</v>
      </c>
      <c r="H45" s="4"/>
      <c r="I45" s="4" t="s">
        <v>18</v>
      </c>
      <c r="J45" s="4"/>
      <c r="K45" s="4" t="s">
        <v>19</v>
      </c>
      <c r="L45" s="4"/>
      <c r="O45" t="s">
        <v>20</v>
      </c>
    </row>
    <row r="46" spans="2:28" x14ac:dyDescent="0.3">
      <c r="E46" s="4">
        <f>1-C41-C42</f>
        <v>0.33333333333333343</v>
      </c>
      <c r="F46" s="4">
        <f>C41</f>
        <v>0.33333333333333331</v>
      </c>
      <c r="G46" s="4">
        <f>C42</f>
        <v>0.33333333333333331</v>
      </c>
      <c r="H46" s="4"/>
      <c r="I46">
        <f t="array" ref="I46:I48">TRANSPOSE(E46:G46)</f>
        <v>0.33333333333333343</v>
      </c>
      <c r="K46">
        <f t="array" ref="K46:M48">MMULT(I46:I48,E46:G46)</f>
        <v>0.11111111111111117</v>
      </c>
      <c r="L46">
        <v>0.11111111111111113</v>
      </c>
      <c r="M46">
        <v>0.11111111111111113</v>
      </c>
      <c r="O46">
        <f>K46*$P$15</f>
        <v>5.5555555555555587E-2</v>
      </c>
      <c r="P46">
        <f t="shared" ref="P46:Q48" si="7">L46*$P$15</f>
        <v>5.5555555555555566E-2</v>
      </c>
      <c r="Q46">
        <f t="shared" si="7"/>
        <v>5.5555555555555566E-2</v>
      </c>
    </row>
    <row r="47" spans="2:28" x14ac:dyDescent="0.3">
      <c r="E47" t="s">
        <v>21</v>
      </c>
      <c r="I47">
        <v>0.33333333333333331</v>
      </c>
      <c r="K47">
        <v>0.11111111111111113</v>
      </c>
      <c r="L47">
        <v>0.1111111111111111</v>
      </c>
      <c r="M47">
        <v>0.1111111111111111</v>
      </c>
      <c r="O47">
        <f t="shared" ref="O47:O48" si="8">K47*$P$15</f>
        <v>5.5555555555555566E-2</v>
      </c>
      <c r="P47">
        <f t="shared" si="7"/>
        <v>5.5555555555555552E-2</v>
      </c>
      <c r="Q47">
        <f t="shared" si="7"/>
        <v>5.5555555555555552E-2</v>
      </c>
    </row>
    <row r="48" spans="2:28" x14ac:dyDescent="0.3">
      <c r="E48" s="4">
        <f>SUM(E46:G46)</f>
        <v>1</v>
      </c>
      <c r="I48">
        <v>0.33333333333333331</v>
      </c>
      <c r="K48">
        <v>0.11111111111111113</v>
      </c>
      <c r="L48">
        <v>0.1111111111111111</v>
      </c>
      <c r="M48">
        <v>0.1111111111111111</v>
      </c>
      <c r="O48">
        <f t="shared" si="8"/>
        <v>5.5555555555555566E-2</v>
      </c>
      <c r="P48">
        <f t="shared" si="7"/>
        <v>5.5555555555555552E-2</v>
      </c>
      <c r="Q48">
        <f t="shared" si="7"/>
        <v>5.5555555555555552E-2</v>
      </c>
    </row>
    <row r="49" spans="4:45" x14ac:dyDescent="0.3">
      <c r="V49" t="s">
        <v>27</v>
      </c>
    </row>
    <row r="50" spans="4:45" x14ac:dyDescent="0.3">
      <c r="E50" s="11">
        <f t="array" ref="E50:E51">MMULT($U$41:$V$42,E41:E42)</f>
        <v>0</v>
      </c>
      <c r="F50" s="11">
        <f t="array" ref="F50:F51">MMULT($U$41:$V$42,F41:F42)</f>
        <v>1</v>
      </c>
      <c r="G50" s="11">
        <f t="array" ref="G50:G51">MMULT($U$41:$V$42,G41:G42)</f>
        <v>-1</v>
      </c>
      <c r="O50" s="12">
        <f t="array" ref="O50:P52">TRANSPOSE(E50:G51)</f>
        <v>0</v>
      </c>
      <c r="P50" s="14">
        <v>-1</v>
      </c>
      <c r="R50" s="12">
        <f t="array" ref="R50:T52">MMULT(O50:P52,E50:G51)</f>
        <v>1</v>
      </c>
      <c r="S50" s="13">
        <v>0</v>
      </c>
      <c r="T50" s="14">
        <v>-1</v>
      </c>
      <c r="V50" s="12">
        <f>R50*$P$41</f>
        <v>0.5</v>
      </c>
      <c r="W50" s="13">
        <f t="shared" ref="W50:X52" si="9">S50*$P$41</f>
        <v>0</v>
      </c>
      <c r="X50" s="14">
        <f t="shared" si="9"/>
        <v>-0.5</v>
      </c>
    </row>
    <row r="51" spans="4:45" x14ac:dyDescent="0.3">
      <c r="D51" s="4"/>
      <c r="E51" s="11">
        <v>-1</v>
      </c>
      <c r="F51" s="11">
        <v>0</v>
      </c>
      <c r="G51" s="11">
        <v>1</v>
      </c>
      <c r="O51" s="15">
        <v>1</v>
      </c>
      <c r="P51" s="16">
        <v>0</v>
      </c>
      <c r="R51" s="15">
        <v>0</v>
      </c>
      <c r="S51" s="8">
        <v>1</v>
      </c>
      <c r="T51" s="16">
        <v>-1</v>
      </c>
      <c r="V51" s="12">
        <f>R51*$P$41</f>
        <v>0</v>
      </c>
      <c r="W51" s="8">
        <f t="shared" si="9"/>
        <v>0.5</v>
      </c>
      <c r="X51" s="16">
        <f t="shared" si="9"/>
        <v>-0.5</v>
      </c>
    </row>
    <row r="52" spans="4:45" x14ac:dyDescent="0.3">
      <c r="D52" s="4"/>
      <c r="O52" s="17">
        <v>-1</v>
      </c>
      <c r="P52" s="19">
        <v>1</v>
      </c>
      <c r="R52" s="17">
        <v>-1</v>
      </c>
      <c r="S52" s="18">
        <v>-1</v>
      </c>
      <c r="T52" s="19">
        <v>2</v>
      </c>
      <c r="V52" s="17">
        <f t="shared" ref="V52" si="10">R52*$P$41</f>
        <v>-0.5</v>
      </c>
      <c r="W52" s="18">
        <f t="shared" si="9"/>
        <v>-0.5</v>
      </c>
      <c r="X52" s="19">
        <f t="shared" si="9"/>
        <v>1</v>
      </c>
    </row>
    <row r="53" spans="4:45" x14ac:dyDescent="0.3">
      <c r="D53" s="4"/>
      <c r="E53" t="s">
        <v>22</v>
      </c>
      <c r="L53" t="s">
        <v>23</v>
      </c>
      <c r="P53" t="s">
        <v>24</v>
      </c>
      <c r="W53" t="s">
        <v>25</v>
      </c>
    </row>
    <row r="54" spans="4:45" x14ac:dyDescent="0.3">
      <c r="E54" s="12">
        <f>E50</f>
        <v>0</v>
      </c>
      <c r="F54" s="13">
        <v>0</v>
      </c>
      <c r="G54" s="13">
        <f>F50</f>
        <v>1</v>
      </c>
      <c r="H54" s="13">
        <v>0</v>
      </c>
      <c r="I54" s="13">
        <f>G50</f>
        <v>-1</v>
      </c>
      <c r="J54" s="14">
        <v>0</v>
      </c>
      <c r="L54" s="12">
        <f t="array" ref="L54:N59">TRANSPOSE(E54:J56)</f>
        <v>0</v>
      </c>
      <c r="M54" s="13">
        <v>0</v>
      </c>
      <c r="N54" s="14">
        <v>-1</v>
      </c>
      <c r="P54" s="12">
        <f t="array" ref="P54:U59">MMULT(L54:N59,E54:J56)</f>
        <v>1</v>
      </c>
      <c r="Q54" s="13">
        <v>0</v>
      </c>
      <c r="R54" s="13">
        <v>0</v>
      </c>
      <c r="S54" s="13">
        <v>-1</v>
      </c>
      <c r="T54" s="13">
        <v>-1</v>
      </c>
      <c r="U54" s="14">
        <v>1</v>
      </c>
      <c r="W54" s="12">
        <f>P54*$P$41</f>
        <v>0.5</v>
      </c>
      <c r="X54" s="12">
        <f t="shared" ref="X54:AB59" si="11">Q54*$P$41</f>
        <v>0</v>
      </c>
      <c r="Y54" s="12">
        <f t="shared" si="11"/>
        <v>0</v>
      </c>
      <c r="Z54" s="12">
        <f t="shared" si="11"/>
        <v>-0.5</v>
      </c>
      <c r="AA54" s="12">
        <f t="shared" si="11"/>
        <v>-0.5</v>
      </c>
      <c r="AB54" s="12">
        <f t="shared" si="11"/>
        <v>0.5</v>
      </c>
    </row>
    <row r="55" spans="4:45" x14ac:dyDescent="0.3">
      <c r="E55" s="15">
        <v>0</v>
      </c>
      <c r="F55" s="8">
        <f t="array" ref="F55">E51</f>
        <v>-1</v>
      </c>
      <c r="G55" s="8">
        <v>0</v>
      </c>
      <c r="H55" s="8">
        <f>F51</f>
        <v>0</v>
      </c>
      <c r="I55" s="8">
        <v>0</v>
      </c>
      <c r="J55" s="16">
        <f>G51</f>
        <v>1</v>
      </c>
      <c r="L55" s="15">
        <v>0</v>
      </c>
      <c r="M55" s="8">
        <v>-1</v>
      </c>
      <c r="N55" s="16">
        <v>0</v>
      </c>
      <c r="P55" s="15">
        <v>0</v>
      </c>
      <c r="Q55" s="8">
        <v>1</v>
      </c>
      <c r="R55" s="8">
        <v>0</v>
      </c>
      <c r="S55" s="8">
        <v>0</v>
      </c>
      <c r="T55" s="8">
        <v>0</v>
      </c>
      <c r="U55" s="16">
        <v>-1</v>
      </c>
      <c r="W55" s="12">
        <f t="shared" ref="W55:W59" si="12">P55*$P$41</f>
        <v>0</v>
      </c>
      <c r="X55" s="12">
        <f t="shared" si="11"/>
        <v>0.5</v>
      </c>
      <c r="Y55" s="12">
        <f t="shared" si="11"/>
        <v>0</v>
      </c>
      <c r="Z55" s="12">
        <f t="shared" si="11"/>
        <v>0</v>
      </c>
      <c r="AA55" s="12">
        <f t="shared" si="11"/>
        <v>0</v>
      </c>
      <c r="AB55" s="12">
        <f t="shared" si="11"/>
        <v>-0.5</v>
      </c>
    </row>
    <row r="56" spans="4:45" x14ac:dyDescent="0.3">
      <c r="E56" s="17">
        <f>E51</f>
        <v>-1</v>
      </c>
      <c r="F56" s="18">
        <f>E50</f>
        <v>0</v>
      </c>
      <c r="G56" s="18">
        <f>F51</f>
        <v>0</v>
      </c>
      <c r="H56" s="18">
        <f>F50</f>
        <v>1</v>
      </c>
      <c r="I56" s="18">
        <f>G51</f>
        <v>1</v>
      </c>
      <c r="J56" s="19">
        <f>G50</f>
        <v>-1</v>
      </c>
      <c r="L56" s="15">
        <v>1</v>
      </c>
      <c r="M56" s="8">
        <v>0</v>
      </c>
      <c r="N56" s="16">
        <v>0</v>
      </c>
      <c r="P56" s="15">
        <v>0</v>
      </c>
      <c r="Q56" s="8">
        <v>0</v>
      </c>
      <c r="R56" s="8">
        <v>1</v>
      </c>
      <c r="S56" s="8">
        <v>0</v>
      </c>
      <c r="T56" s="8">
        <v>-1</v>
      </c>
      <c r="U56" s="16">
        <v>0</v>
      </c>
      <c r="W56" s="12">
        <f t="shared" si="12"/>
        <v>0</v>
      </c>
      <c r="X56" s="12">
        <f t="shared" si="11"/>
        <v>0</v>
      </c>
      <c r="Y56" s="12">
        <f t="shared" si="11"/>
        <v>0.5</v>
      </c>
      <c r="Z56" s="12">
        <f t="shared" si="11"/>
        <v>0</v>
      </c>
      <c r="AA56" s="12">
        <f t="shared" si="11"/>
        <v>-0.5</v>
      </c>
      <c r="AB56" s="12">
        <f t="shared" si="11"/>
        <v>0</v>
      </c>
    </row>
    <row r="57" spans="4:45" x14ac:dyDescent="0.3">
      <c r="L57" s="15">
        <v>0</v>
      </c>
      <c r="M57" s="8">
        <v>0</v>
      </c>
      <c r="N57" s="16">
        <v>1</v>
      </c>
      <c r="P57" s="15">
        <v>-1</v>
      </c>
      <c r="Q57" s="8">
        <v>0</v>
      </c>
      <c r="R57" s="8">
        <v>0</v>
      </c>
      <c r="S57" s="8">
        <v>1</v>
      </c>
      <c r="T57" s="8">
        <v>1</v>
      </c>
      <c r="U57" s="16">
        <v>-1</v>
      </c>
      <c r="W57" s="12">
        <f t="shared" si="12"/>
        <v>-0.5</v>
      </c>
      <c r="X57" s="12">
        <f t="shared" si="11"/>
        <v>0</v>
      </c>
      <c r="Y57" s="12">
        <f t="shared" si="11"/>
        <v>0</v>
      </c>
      <c r="Z57" s="12">
        <f t="shared" si="11"/>
        <v>0.5</v>
      </c>
      <c r="AA57" s="12">
        <f t="shared" si="11"/>
        <v>0.5</v>
      </c>
      <c r="AB57" s="12">
        <f t="shared" si="11"/>
        <v>-0.5</v>
      </c>
    </row>
    <row r="58" spans="4:45" x14ac:dyDescent="0.3">
      <c r="L58" s="15">
        <v>-1</v>
      </c>
      <c r="M58" s="8">
        <v>0</v>
      </c>
      <c r="N58" s="16">
        <v>1</v>
      </c>
      <c r="P58" s="15">
        <v>-1</v>
      </c>
      <c r="Q58" s="8">
        <v>0</v>
      </c>
      <c r="R58" s="8">
        <v>-1</v>
      </c>
      <c r="S58" s="8">
        <v>1</v>
      </c>
      <c r="T58" s="8">
        <v>2</v>
      </c>
      <c r="U58" s="16">
        <v>-1</v>
      </c>
      <c r="W58" s="12">
        <f t="shared" si="12"/>
        <v>-0.5</v>
      </c>
      <c r="X58" s="12">
        <f t="shared" si="11"/>
        <v>0</v>
      </c>
      <c r="Y58" s="12">
        <f t="shared" si="11"/>
        <v>-0.5</v>
      </c>
      <c r="Z58" s="12">
        <f t="shared" si="11"/>
        <v>0.5</v>
      </c>
      <c r="AA58" s="12">
        <f t="shared" si="11"/>
        <v>1</v>
      </c>
      <c r="AB58" s="12">
        <f t="shared" si="11"/>
        <v>-0.5</v>
      </c>
    </row>
    <row r="59" spans="4:45" x14ac:dyDescent="0.3">
      <c r="L59" s="17">
        <v>0</v>
      </c>
      <c r="M59" s="18">
        <v>1</v>
      </c>
      <c r="N59" s="19">
        <v>-1</v>
      </c>
      <c r="P59" s="17">
        <v>1</v>
      </c>
      <c r="Q59" s="18">
        <v>-1</v>
      </c>
      <c r="R59" s="18">
        <v>0</v>
      </c>
      <c r="S59" s="18">
        <v>-1</v>
      </c>
      <c r="T59" s="18">
        <v>-1</v>
      </c>
      <c r="U59" s="19">
        <v>2</v>
      </c>
      <c r="W59" s="12">
        <f t="shared" si="12"/>
        <v>0.5</v>
      </c>
      <c r="X59" s="12">
        <f t="shared" si="11"/>
        <v>-0.5</v>
      </c>
      <c r="Y59" s="12">
        <f t="shared" si="11"/>
        <v>0</v>
      </c>
      <c r="Z59" s="12">
        <f t="shared" si="11"/>
        <v>-0.5</v>
      </c>
      <c r="AA59" s="12">
        <f t="shared" si="11"/>
        <v>-0.5</v>
      </c>
      <c r="AB59" s="12">
        <f t="shared" si="11"/>
        <v>1</v>
      </c>
    </row>
    <row r="61" spans="4:45" x14ac:dyDescent="0.3">
      <c r="M61" t="s">
        <v>37</v>
      </c>
      <c r="N61" t="s">
        <v>51</v>
      </c>
    </row>
    <row r="62" spans="4:45" x14ac:dyDescent="0.3">
      <c r="I62" t="s">
        <v>34</v>
      </c>
      <c r="R62" t="s">
        <v>52</v>
      </c>
      <c r="W62" t="s">
        <v>54</v>
      </c>
      <c r="AA62" t="s">
        <v>55</v>
      </c>
      <c r="AC62" t="s">
        <v>37</v>
      </c>
    </row>
    <row r="63" spans="4:45" x14ac:dyDescent="0.3">
      <c r="H63">
        <v>1</v>
      </c>
      <c r="I63" s="12">
        <f t="shared" ref="I63:K65" si="13">O20</f>
        <v>5.5555555555555587E-2</v>
      </c>
      <c r="J63" s="13">
        <f t="shared" si="13"/>
        <v>5.5555555555555566E-2</v>
      </c>
      <c r="K63" s="14">
        <f t="shared" si="13"/>
        <v>5.5555555555555566E-2</v>
      </c>
      <c r="R63" s="12">
        <f>I63</f>
        <v>5.5555555555555587E-2</v>
      </c>
      <c r="S63" s="13">
        <f t="shared" ref="S63:T65" si="14">J63</f>
        <v>5.5555555555555566E-2</v>
      </c>
      <c r="T63" s="13">
        <f t="shared" si="14"/>
        <v>5.5555555555555566E-2</v>
      </c>
      <c r="U63" s="14">
        <v>0</v>
      </c>
      <c r="W63" s="12">
        <f>R63+R69</f>
        <v>0.11111111111111117</v>
      </c>
      <c r="X63" s="13">
        <f t="shared" ref="X63:Z66" si="15">S63+S69</f>
        <v>5.5555555555555566E-2</v>
      </c>
      <c r="Y63" s="13">
        <f t="shared" si="15"/>
        <v>0.11111111111111113</v>
      </c>
      <c r="Z63" s="14">
        <f t="shared" si="15"/>
        <v>5.5555555555555566E-2</v>
      </c>
      <c r="AA63" s="23">
        <f>SUM(W63:Z63)</f>
        <v>0.33333333333333348</v>
      </c>
      <c r="AC63" s="12">
        <f t="shared" ref="AC63:AF66" si="16">W63</f>
        <v>0.11111111111111117</v>
      </c>
      <c r="AD63" s="13">
        <f t="shared" si="16"/>
        <v>5.5555555555555566E-2</v>
      </c>
      <c r="AE63" s="13">
        <f t="shared" si="16"/>
        <v>0.11111111111111113</v>
      </c>
      <c r="AF63" s="13">
        <f t="shared" si="16"/>
        <v>5.5555555555555566E-2</v>
      </c>
      <c r="AG63" s="13">
        <v>0</v>
      </c>
      <c r="AH63" s="13">
        <v>0</v>
      </c>
      <c r="AI63" s="13">
        <v>0</v>
      </c>
      <c r="AJ63" s="14">
        <v>0</v>
      </c>
      <c r="AL63" s="12">
        <f>AA63</f>
        <v>0.33333333333333348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4">
        <v>0</v>
      </c>
    </row>
    <row r="64" spans="4:45" x14ac:dyDescent="0.3">
      <c r="H64">
        <v>2</v>
      </c>
      <c r="I64" s="15">
        <f t="shared" si="13"/>
        <v>5.5555555555555566E-2</v>
      </c>
      <c r="J64" s="8">
        <f t="shared" si="13"/>
        <v>5.5555555555555552E-2</v>
      </c>
      <c r="K64" s="16">
        <f t="shared" si="13"/>
        <v>5.5555555555555552E-2</v>
      </c>
      <c r="R64" s="15">
        <f t="shared" ref="R64:R65" si="17">I64</f>
        <v>5.5555555555555566E-2</v>
      </c>
      <c r="S64" s="8">
        <f t="shared" si="14"/>
        <v>5.5555555555555552E-2</v>
      </c>
      <c r="T64" s="8">
        <f t="shared" si="14"/>
        <v>5.5555555555555552E-2</v>
      </c>
      <c r="U64" s="16">
        <v>0</v>
      </c>
      <c r="W64" s="15">
        <f t="shared" ref="W64:W66" si="18">R64+R70</f>
        <v>5.5555555555555566E-2</v>
      </c>
      <c r="X64" s="8">
        <f t="shared" si="15"/>
        <v>5.5555555555555552E-2</v>
      </c>
      <c r="Y64" s="8">
        <f t="shared" si="15"/>
        <v>5.5555555555555552E-2</v>
      </c>
      <c r="Z64" s="16">
        <f t="shared" si="15"/>
        <v>0</v>
      </c>
      <c r="AA64" s="23">
        <f t="shared" ref="AA64:AA66" si="19">SUM(W64:Z64)</f>
        <v>0.16666666666666669</v>
      </c>
      <c r="AC64" s="15">
        <f t="shared" si="16"/>
        <v>5.5555555555555566E-2</v>
      </c>
      <c r="AD64" s="8">
        <f t="shared" si="16"/>
        <v>5.5555555555555552E-2</v>
      </c>
      <c r="AE64" s="8">
        <f t="shared" si="16"/>
        <v>5.5555555555555552E-2</v>
      </c>
      <c r="AF64" s="8">
        <f t="shared" si="16"/>
        <v>0</v>
      </c>
      <c r="AG64" s="8">
        <v>0</v>
      </c>
      <c r="AH64" s="8">
        <v>0</v>
      </c>
      <c r="AI64" s="8">
        <v>0</v>
      </c>
      <c r="AJ64" s="16">
        <v>0</v>
      </c>
      <c r="AL64" s="15">
        <v>0</v>
      </c>
      <c r="AM64" s="8">
        <f>AA64</f>
        <v>0.16666666666666669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16">
        <v>0</v>
      </c>
    </row>
    <row r="65" spans="8:45" x14ac:dyDescent="0.3">
      <c r="H65">
        <v>3</v>
      </c>
      <c r="I65" s="17">
        <f t="shared" si="13"/>
        <v>5.5555555555555566E-2</v>
      </c>
      <c r="J65" s="18">
        <f t="shared" si="13"/>
        <v>5.5555555555555552E-2</v>
      </c>
      <c r="K65" s="19">
        <f t="shared" si="13"/>
        <v>5.5555555555555552E-2</v>
      </c>
      <c r="R65" s="15">
        <f t="shared" si="17"/>
        <v>5.5555555555555566E-2</v>
      </c>
      <c r="S65" s="8">
        <f t="shared" si="14"/>
        <v>5.5555555555555552E-2</v>
      </c>
      <c r="T65" s="8">
        <f t="shared" si="14"/>
        <v>5.5555555555555552E-2</v>
      </c>
      <c r="U65" s="16">
        <v>0</v>
      </c>
      <c r="W65" s="15">
        <f t="shared" si="18"/>
        <v>0.11111111111111113</v>
      </c>
      <c r="X65" s="8">
        <f t="shared" si="15"/>
        <v>5.5555555555555552E-2</v>
      </c>
      <c r="Y65" s="8">
        <f t="shared" si="15"/>
        <v>0.1111111111111111</v>
      </c>
      <c r="Z65" s="16">
        <f t="shared" si="15"/>
        <v>5.5555555555555552E-2</v>
      </c>
      <c r="AA65" s="23">
        <f t="shared" si="19"/>
        <v>0.33333333333333337</v>
      </c>
      <c r="AC65" s="15">
        <f t="shared" si="16"/>
        <v>0.11111111111111113</v>
      </c>
      <c r="AD65" s="8">
        <f t="shared" si="16"/>
        <v>5.5555555555555552E-2</v>
      </c>
      <c r="AE65" s="8">
        <f t="shared" si="16"/>
        <v>0.1111111111111111</v>
      </c>
      <c r="AF65" s="8">
        <f t="shared" si="16"/>
        <v>5.5555555555555552E-2</v>
      </c>
      <c r="AG65" s="8">
        <v>0</v>
      </c>
      <c r="AH65" s="8">
        <v>0</v>
      </c>
      <c r="AI65" s="8">
        <v>0</v>
      </c>
      <c r="AJ65" s="16">
        <v>0</v>
      </c>
      <c r="AL65" s="15">
        <v>0</v>
      </c>
      <c r="AM65" s="8">
        <v>0</v>
      </c>
      <c r="AN65" s="8">
        <f>AA65</f>
        <v>0.33333333333333337</v>
      </c>
      <c r="AO65" s="8">
        <v>0</v>
      </c>
      <c r="AP65" s="8">
        <v>0</v>
      </c>
      <c r="AQ65" s="8">
        <v>0</v>
      </c>
      <c r="AR65" s="8">
        <v>0</v>
      </c>
      <c r="AS65" s="16">
        <v>0</v>
      </c>
    </row>
    <row r="66" spans="8:45" x14ac:dyDescent="0.3">
      <c r="R66" s="17">
        <v>0</v>
      </c>
      <c r="S66" s="18">
        <v>0</v>
      </c>
      <c r="T66" s="18">
        <v>0</v>
      </c>
      <c r="U66" s="19">
        <v>0</v>
      </c>
      <c r="W66" s="17">
        <f t="shared" si="18"/>
        <v>5.5555555555555566E-2</v>
      </c>
      <c r="X66" s="18">
        <f t="shared" si="15"/>
        <v>0</v>
      </c>
      <c r="Y66" s="18">
        <f t="shared" si="15"/>
        <v>5.5555555555555552E-2</v>
      </c>
      <c r="Z66" s="19">
        <f t="shared" si="15"/>
        <v>5.5555555555555552E-2</v>
      </c>
      <c r="AA66" s="23">
        <f t="shared" si="19"/>
        <v>0.16666666666666669</v>
      </c>
      <c r="AC66" s="15">
        <f t="shared" si="16"/>
        <v>5.5555555555555566E-2</v>
      </c>
      <c r="AD66" s="8">
        <f t="shared" si="16"/>
        <v>0</v>
      </c>
      <c r="AE66" s="8">
        <f t="shared" si="16"/>
        <v>5.5555555555555552E-2</v>
      </c>
      <c r="AF66" s="8">
        <f t="shared" si="16"/>
        <v>5.5555555555555552E-2</v>
      </c>
      <c r="AG66" s="8">
        <v>0</v>
      </c>
      <c r="AH66" s="8">
        <v>0</v>
      </c>
      <c r="AI66" s="8">
        <v>0</v>
      </c>
      <c r="AJ66" s="16">
        <v>0</v>
      </c>
      <c r="AL66" s="15">
        <v>0</v>
      </c>
      <c r="AM66" s="8">
        <v>0</v>
      </c>
      <c r="AN66" s="8">
        <v>0</v>
      </c>
      <c r="AO66" s="8">
        <f>AA66</f>
        <v>0.16666666666666669</v>
      </c>
      <c r="AP66" s="8">
        <v>0</v>
      </c>
      <c r="AQ66" s="8">
        <v>0</v>
      </c>
      <c r="AR66" s="8">
        <v>0</v>
      </c>
      <c r="AS66" s="16">
        <v>0</v>
      </c>
    </row>
    <row r="67" spans="8:45" x14ac:dyDescent="0.3">
      <c r="I67" t="s">
        <v>35</v>
      </c>
      <c r="AC67" s="15">
        <v>0</v>
      </c>
      <c r="AD67" s="8">
        <v>0</v>
      </c>
      <c r="AE67" s="8">
        <v>0</v>
      </c>
      <c r="AF67" s="8">
        <v>0</v>
      </c>
      <c r="AG67" s="8">
        <f t="shared" ref="AG67:AJ70" si="20">W63</f>
        <v>0.11111111111111117</v>
      </c>
      <c r="AH67" s="8">
        <f t="shared" si="20"/>
        <v>5.5555555555555566E-2</v>
      </c>
      <c r="AI67" s="8">
        <f t="shared" si="20"/>
        <v>0.11111111111111113</v>
      </c>
      <c r="AJ67" s="16">
        <f t="shared" si="20"/>
        <v>5.5555555555555566E-2</v>
      </c>
      <c r="AL67" s="15">
        <v>0</v>
      </c>
      <c r="AM67" s="8">
        <v>0</v>
      </c>
      <c r="AN67" s="8">
        <v>0</v>
      </c>
      <c r="AO67" s="8">
        <v>0</v>
      </c>
      <c r="AP67" s="8">
        <f>AA63</f>
        <v>0.33333333333333348</v>
      </c>
      <c r="AQ67" s="8">
        <v>0</v>
      </c>
      <c r="AR67" s="8">
        <v>0</v>
      </c>
      <c r="AS67" s="16">
        <v>0</v>
      </c>
    </row>
    <row r="68" spans="8:45" x14ac:dyDescent="0.3">
      <c r="H68">
        <v>1</v>
      </c>
      <c r="I68" s="12">
        <f t="shared" ref="I68:K70" si="21">O46</f>
        <v>5.5555555555555587E-2</v>
      </c>
      <c r="J68" s="13">
        <f t="shared" si="21"/>
        <v>5.5555555555555566E-2</v>
      </c>
      <c r="K68" s="14">
        <f t="shared" si="21"/>
        <v>5.5555555555555566E-2</v>
      </c>
      <c r="R68" t="s">
        <v>53</v>
      </c>
      <c r="AC68" s="15">
        <v>0</v>
      </c>
      <c r="AD68" s="8">
        <v>0</v>
      </c>
      <c r="AE68" s="8">
        <v>0</v>
      </c>
      <c r="AF68" s="8">
        <v>0</v>
      </c>
      <c r="AG68" s="8">
        <f t="shared" si="20"/>
        <v>5.5555555555555566E-2</v>
      </c>
      <c r="AH68" s="8">
        <f t="shared" si="20"/>
        <v>5.5555555555555552E-2</v>
      </c>
      <c r="AI68" s="8">
        <f t="shared" si="20"/>
        <v>5.5555555555555552E-2</v>
      </c>
      <c r="AJ68" s="16">
        <f t="shared" si="20"/>
        <v>0</v>
      </c>
      <c r="AL68" s="15">
        <v>0</v>
      </c>
      <c r="AM68" s="8">
        <v>0</v>
      </c>
      <c r="AN68" s="8">
        <v>0</v>
      </c>
      <c r="AO68" s="8">
        <v>0</v>
      </c>
      <c r="AP68" s="8">
        <v>0</v>
      </c>
      <c r="AQ68" s="8">
        <f>AA64</f>
        <v>0.16666666666666669</v>
      </c>
      <c r="AR68" s="8">
        <v>0</v>
      </c>
      <c r="AS68" s="16">
        <v>0</v>
      </c>
    </row>
    <row r="69" spans="8:45" x14ac:dyDescent="0.3">
      <c r="H69">
        <v>3</v>
      </c>
      <c r="I69" s="15">
        <f t="shared" si="21"/>
        <v>5.5555555555555566E-2</v>
      </c>
      <c r="J69" s="8">
        <f t="shared" si="21"/>
        <v>5.5555555555555552E-2</v>
      </c>
      <c r="K69" s="16">
        <f t="shared" si="21"/>
        <v>5.5555555555555552E-2</v>
      </c>
      <c r="R69" s="12">
        <f>I68</f>
        <v>5.5555555555555587E-2</v>
      </c>
      <c r="S69" s="13">
        <v>0</v>
      </c>
      <c r="T69" s="13">
        <f>J68</f>
        <v>5.5555555555555566E-2</v>
      </c>
      <c r="U69" s="14">
        <f>K68</f>
        <v>5.5555555555555566E-2</v>
      </c>
      <c r="AC69" s="15">
        <v>0</v>
      </c>
      <c r="AD69" s="8">
        <v>0</v>
      </c>
      <c r="AE69" s="8">
        <v>0</v>
      </c>
      <c r="AF69" s="8">
        <v>0</v>
      </c>
      <c r="AG69" s="8">
        <f t="shared" si="20"/>
        <v>0.11111111111111113</v>
      </c>
      <c r="AH69" s="8">
        <f t="shared" si="20"/>
        <v>5.5555555555555552E-2</v>
      </c>
      <c r="AI69" s="8">
        <f t="shared" si="20"/>
        <v>0.1111111111111111</v>
      </c>
      <c r="AJ69" s="16">
        <f t="shared" si="20"/>
        <v>5.5555555555555552E-2</v>
      </c>
      <c r="AL69" s="15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f>AA65</f>
        <v>0.33333333333333337</v>
      </c>
      <c r="AS69" s="16">
        <v>0</v>
      </c>
    </row>
    <row r="70" spans="8:45" x14ac:dyDescent="0.3">
      <c r="H70">
        <v>4</v>
      </c>
      <c r="I70" s="17">
        <f t="shared" si="21"/>
        <v>5.5555555555555566E-2</v>
      </c>
      <c r="J70" s="18">
        <f t="shared" si="21"/>
        <v>5.5555555555555552E-2</v>
      </c>
      <c r="K70" s="19">
        <f t="shared" si="21"/>
        <v>5.5555555555555552E-2</v>
      </c>
      <c r="R70" s="15">
        <v>0</v>
      </c>
      <c r="S70" s="8">
        <v>0</v>
      </c>
      <c r="T70" s="8">
        <v>0</v>
      </c>
      <c r="U70" s="16">
        <v>0</v>
      </c>
      <c r="AC70" s="17">
        <v>0</v>
      </c>
      <c r="AD70" s="18">
        <v>0</v>
      </c>
      <c r="AE70" s="18">
        <v>0</v>
      </c>
      <c r="AF70" s="18">
        <v>0</v>
      </c>
      <c r="AG70" s="18">
        <f t="shared" si="20"/>
        <v>5.5555555555555566E-2</v>
      </c>
      <c r="AH70" s="18">
        <f t="shared" si="20"/>
        <v>0</v>
      </c>
      <c r="AI70" s="18">
        <f t="shared" si="20"/>
        <v>5.5555555555555552E-2</v>
      </c>
      <c r="AJ70" s="19">
        <f t="shared" si="20"/>
        <v>5.5555555555555552E-2</v>
      </c>
      <c r="AL70" s="17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9">
        <f>AA66</f>
        <v>0.16666666666666669</v>
      </c>
    </row>
    <row r="71" spans="8:45" x14ac:dyDescent="0.3">
      <c r="R71" s="15">
        <f>I69</f>
        <v>5.5555555555555566E-2</v>
      </c>
      <c r="S71" s="8">
        <v>0</v>
      </c>
      <c r="T71" s="8">
        <f>J69</f>
        <v>5.5555555555555552E-2</v>
      </c>
      <c r="U71" s="16">
        <f>K69</f>
        <v>5.5555555555555552E-2</v>
      </c>
    </row>
    <row r="72" spans="8:45" x14ac:dyDescent="0.3">
      <c r="R72" s="17">
        <f>I70</f>
        <v>5.5555555555555566E-2</v>
      </c>
      <c r="S72" s="18">
        <v>0</v>
      </c>
      <c r="T72" s="18">
        <f>J70</f>
        <v>5.5555555555555552E-2</v>
      </c>
      <c r="U72" s="19">
        <f>K70</f>
        <v>5.5555555555555552E-2</v>
      </c>
      <c r="AL72" t="s">
        <v>60</v>
      </c>
    </row>
    <row r="73" spans="8:45" x14ac:dyDescent="0.3">
      <c r="AL73">
        <f t="array" ref="AL73:AS80">MINVERSE(AL63:AS70)</f>
        <v>2.9999999999999987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8:45" x14ac:dyDescent="0.3">
      <c r="AL74">
        <v>0</v>
      </c>
      <c r="AM74">
        <v>5.9999999999999991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8:45" x14ac:dyDescent="0.3">
      <c r="AL75">
        <v>0</v>
      </c>
      <c r="AM75">
        <v>0</v>
      </c>
      <c r="AN75">
        <v>2.9999999999999996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8:45" x14ac:dyDescent="0.3">
      <c r="I76" t="s">
        <v>26</v>
      </c>
      <c r="W76" t="s">
        <v>57</v>
      </c>
      <c r="X76" t="s">
        <v>51</v>
      </c>
      <c r="AL76">
        <v>0</v>
      </c>
      <c r="AM76">
        <v>0</v>
      </c>
      <c r="AN76">
        <v>0</v>
      </c>
      <c r="AO76">
        <v>5.9999999999999991</v>
      </c>
      <c r="AP76">
        <v>0</v>
      </c>
      <c r="AQ76">
        <v>0</v>
      </c>
      <c r="AR76">
        <v>0</v>
      </c>
      <c r="AS76">
        <v>0</v>
      </c>
    </row>
    <row r="77" spans="8:45" x14ac:dyDescent="0.3">
      <c r="H77">
        <v>1</v>
      </c>
      <c r="I77" s="12">
        <f>V24*$H$294</f>
        <v>5.539473530604512E-2</v>
      </c>
      <c r="J77" s="12">
        <f t="shared" ref="J77:K77" si="22">W24*$H$294</f>
        <v>-5.539473530604512E-2</v>
      </c>
      <c r="K77" s="12">
        <f t="shared" si="22"/>
        <v>0</v>
      </c>
      <c r="M77" s="12">
        <f>I77</f>
        <v>5.539473530604512E-2</v>
      </c>
      <c r="N77" s="12">
        <f t="shared" ref="N77:O79" si="23">J77</f>
        <v>-5.539473530604512E-2</v>
      </c>
      <c r="O77" s="12">
        <f t="shared" si="23"/>
        <v>0</v>
      </c>
      <c r="P77" s="14">
        <v>0</v>
      </c>
      <c r="R77" s="12">
        <f>M77+M82</f>
        <v>0.11070847292949042</v>
      </c>
      <c r="S77" s="13">
        <f t="shared" ref="S77:U80" si="24">N77+N82</f>
        <v>-5.539473530604512E-2</v>
      </c>
      <c r="T77" s="13">
        <f t="shared" si="24"/>
        <v>0</v>
      </c>
      <c r="U77" s="14">
        <f t="shared" si="24"/>
        <v>-5.5313737623445297E-2</v>
      </c>
      <c r="W77" s="12">
        <f>R77</f>
        <v>0.11070847292949042</v>
      </c>
      <c r="X77" s="13">
        <f t="shared" ref="X77:Z80" si="25">S77</f>
        <v>-5.539473530604512E-2</v>
      </c>
      <c r="Y77" s="13">
        <f t="shared" si="25"/>
        <v>0</v>
      </c>
      <c r="Z77" s="13">
        <f t="shared" si="25"/>
        <v>-5.5313737623445297E-2</v>
      </c>
      <c r="AA77" s="13">
        <v>0</v>
      </c>
      <c r="AB77" s="13">
        <v>0</v>
      </c>
      <c r="AC77" s="13">
        <v>0</v>
      </c>
      <c r="AD77" s="14">
        <v>0</v>
      </c>
      <c r="AL77">
        <v>0</v>
      </c>
      <c r="AM77">
        <v>0</v>
      </c>
      <c r="AN77">
        <v>0</v>
      </c>
      <c r="AO77">
        <v>0</v>
      </c>
      <c r="AP77">
        <v>2.9999999999999987</v>
      </c>
      <c r="AQ77">
        <v>0</v>
      </c>
      <c r="AR77">
        <v>0</v>
      </c>
      <c r="AS77">
        <v>0</v>
      </c>
    </row>
    <row r="78" spans="8:45" x14ac:dyDescent="0.3">
      <c r="H78">
        <v>2</v>
      </c>
      <c r="I78" s="12">
        <f t="shared" ref="I78:I79" si="26">V25*$H$294</f>
        <v>-5.539473530604512E-2</v>
      </c>
      <c r="J78" s="12">
        <f t="shared" ref="J78:J79" si="27">W25*$H$294</f>
        <v>0.11078947061209024</v>
      </c>
      <c r="K78" s="12">
        <f t="shared" ref="K78:K79" si="28">X25*$H$294</f>
        <v>-5.539473530604512E-2</v>
      </c>
      <c r="M78" s="12">
        <f t="shared" ref="M78:M79" si="29">I78</f>
        <v>-5.539473530604512E-2</v>
      </c>
      <c r="N78" s="12">
        <f t="shared" si="23"/>
        <v>0.11078947061209024</v>
      </c>
      <c r="O78" s="12">
        <f t="shared" si="23"/>
        <v>-5.539473530604512E-2</v>
      </c>
      <c r="P78" s="16">
        <v>0</v>
      </c>
      <c r="R78" s="15">
        <f t="shared" ref="R78:R80" si="30">M78+M83</f>
        <v>-5.539473530604512E-2</v>
      </c>
      <c r="S78" s="8">
        <f t="shared" si="24"/>
        <v>0.11078947061209024</v>
      </c>
      <c r="T78" s="8">
        <f t="shared" si="24"/>
        <v>-5.539473530604512E-2</v>
      </c>
      <c r="U78" s="16">
        <f t="shared" si="24"/>
        <v>0</v>
      </c>
      <c r="W78" s="15">
        <f t="shared" ref="W78:W80" si="31">R78</f>
        <v>-5.539473530604512E-2</v>
      </c>
      <c r="X78" s="8">
        <f t="shared" si="25"/>
        <v>0.11078947061209024</v>
      </c>
      <c r="Y78" s="8">
        <f t="shared" si="25"/>
        <v>-5.539473530604512E-2</v>
      </c>
      <c r="Z78" s="8">
        <f t="shared" si="25"/>
        <v>0</v>
      </c>
      <c r="AA78" s="8">
        <v>0</v>
      </c>
      <c r="AB78" s="8">
        <v>0</v>
      </c>
      <c r="AC78" s="8">
        <v>0</v>
      </c>
      <c r="AD78" s="16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5.9999999999999991</v>
      </c>
      <c r="AR78">
        <v>0</v>
      </c>
      <c r="AS78">
        <v>0</v>
      </c>
    </row>
    <row r="79" spans="8:45" x14ac:dyDescent="0.3">
      <c r="H79">
        <v>3</v>
      </c>
      <c r="I79" s="12">
        <f t="shared" si="26"/>
        <v>0</v>
      </c>
      <c r="J79" s="12">
        <f t="shared" si="27"/>
        <v>-5.539473530604512E-2</v>
      </c>
      <c r="K79" s="12">
        <f t="shared" si="28"/>
        <v>5.539473530604512E-2</v>
      </c>
      <c r="M79" s="12">
        <f t="shared" si="29"/>
        <v>0</v>
      </c>
      <c r="N79" s="12">
        <f t="shared" si="23"/>
        <v>-5.539473530604512E-2</v>
      </c>
      <c r="O79" s="12">
        <f t="shared" si="23"/>
        <v>5.539473530604512E-2</v>
      </c>
      <c r="P79" s="16">
        <v>0</v>
      </c>
      <c r="R79" s="15">
        <f t="shared" si="30"/>
        <v>0</v>
      </c>
      <c r="S79" s="8">
        <f t="shared" si="24"/>
        <v>-5.539473530604512E-2</v>
      </c>
      <c r="T79" s="8">
        <f t="shared" si="24"/>
        <v>0.11070847292949042</v>
      </c>
      <c r="U79" s="16">
        <f t="shared" si="24"/>
        <v>-5.5313737623445297E-2</v>
      </c>
      <c r="W79" s="15">
        <f t="shared" si="31"/>
        <v>0</v>
      </c>
      <c r="X79" s="8">
        <f t="shared" si="25"/>
        <v>-5.539473530604512E-2</v>
      </c>
      <c r="Y79" s="8">
        <f t="shared" si="25"/>
        <v>0.11070847292949042</v>
      </c>
      <c r="Z79" s="8">
        <f t="shared" si="25"/>
        <v>-5.5313737623445297E-2</v>
      </c>
      <c r="AA79" s="8">
        <v>0</v>
      </c>
      <c r="AB79" s="8">
        <v>0</v>
      </c>
      <c r="AC79" s="8">
        <v>0</v>
      </c>
      <c r="AD79" s="16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2.9999999999999996</v>
      </c>
      <c r="AS79">
        <v>0</v>
      </c>
    </row>
    <row r="80" spans="8:45" x14ac:dyDescent="0.3">
      <c r="M80" s="17">
        <v>0</v>
      </c>
      <c r="N80" s="18">
        <v>0</v>
      </c>
      <c r="O80" s="18">
        <v>0</v>
      </c>
      <c r="P80" s="19">
        <v>0</v>
      </c>
      <c r="R80" s="17">
        <f t="shared" si="30"/>
        <v>-5.5313737623445297E-2</v>
      </c>
      <c r="S80" s="18">
        <f t="shared" si="24"/>
        <v>0</v>
      </c>
      <c r="T80" s="18">
        <f t="shared" si="24"/>
        <v>-5.5313737623445297E-2</v>
      </c>
      <c r="U80" s="19">
        <f t="shared" si="24"/>
        <v>0.11062747524689059</v>
      </c>
      <c r="W80" s="15">
        <f t="shared" si="31"/>
        <v>-5.5313737623445297E-2</v>
      </c>
      <c r="X80" s="8">
        <f t="shared" si="25"/>
        <v>0</v>
      </c>
      <c r="Y80" s="8">
        <f t="shared" si="25"/>
        <v>-5.5313737623445297E-2</v>
      </c>
      <c r="Z80" s="8">
        <f t="shared" si="25"/>
        <v>0.11062747524689059</v>
      </c>
      <c r="AA80" s="8">
        <v>0</v>
      </c>
      <c r="AB80" s="8">
        <v>0</v>
      </c>
      <c r="AC80" s="8">
        <v>0</v>
      </c>
      <c r="AD80" s="16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5.9999999999999991</v>
      </c>
    </row>
    <row r="81" spans="1:30" x14ac:dyDescent="0.3">
      <c r="I81" t="s">
        <v>27</v>
      </c>
      <c r="W81" s="15">
        <v>0</v>
      </c>
      <c r="X81" s="8">
        <v>0</v>
      </c>
      <c r="Y81" s="8">
        <v>0</v>
      </c>
      <c r="Z81" s="8">
        <v>0</v>
      </c>
      <c r="AA81" s="8">
        <f>R77</f>
        <v>0.11070847292949042</v>
      </c>
      <c r="AB81" s="8">
        <f t="shared" ref="AB81:AD84" si="32">S77</f>
        <v>-5.539473530604512E-2</v>
      </c>
      <c r="AC81" s="8">
        <f t="shared" si="32"/>
        <v>0</v>
      </c>
      <c r="AD81" s="16">
        <f t="shared" si="32"/>
        <v>-5.5313737623445297E-2</v>
      </c>
    </row>
    <row r="82" spans="1:30" x14ac:dyDescent="0.3">
      <c r="H82">
        <v>1</v>
      </c>
      <c r="I82" s="12">
        <f>V50*$J$294</f>
        <v>5.5313737623445297E-2</v>
      </c>
      <c r="J82" s="12">
        <f t="shared" ref="J82:K82" si="33">W50*$J$294</f>
        <v>0</v>
      </c>
      <c r="K82" s="12">
        <f t="shared" si="33"/>
        <v>-5.5313737623445297E-2</v>
      </c>
      <c r="M82" s="12">
        <f>I82</f>
        <v>5.5313737623445297E-2</v>
      </c>
      <c r="N82" s="13">
        <v>0</v>
      </c>
      <c r="O82" s="13">
        <f>J82</f>
        <v>0</v>
      </c>
      <c r="P82" s="13">
        <f>K82</f>
        <v>-5.5313737623445297E-2</v>
      </c>
      <c r="W82" s="15">
        <v>0</v>
      </c>
      <c r="X82" s="8">
        <v>0</v>
      </c>
      <c r="Y82" s="8">
        <v>0</v>
      </c>
      <c r="Z82" s="8">
        <v>0</v>
      </c>
      <c r="AA82" s="8">
        <f t="shared" ref="AA82:AA84" si="34">R78</f>
        <v>-5.539473530604512E-2</v>
      </c>
      <c r="AB82" s="8">
        <f t="shared" si="32"/>
        <v>0.11078947061209024</v>
      </c>
      <c r="AC82" s="8">
        <f t="shared" si="32"/>
        <v>-5.539473530604512E-2</v>
      </c>
      <c r="AD82" s="16">
        <f t="shared" si="32"/>
        <v>0</v>
      </c>
    </row>
    <row r="83" spans="1:30" x14ac:dyDescent="0.3">
      <c r="H83">
        <v>3</v>
      </c>
      <c r="I83" s="12">
        <f t="shared" ref="I83:I84" si="35">V51*$J$294</f>
        <v>0</v>
      </c>
      <c r="J83" s="12">
        <f t="shared" ref="J83:J84" si="36">W51*$J$294</f>
        <v>5.5313737623445297E-2</v>
      </c>
      <c r="K83" s="12">
        <f t="shared" ref="K83:K84" si="37">X51*$J$294</f>
        <v>-5.5313737623445297E-2</v>
      </c>
      <c r="M83" s="15">
        <v>0</v>
      </c>
      <c r="N83" s="8">
        <v>0</v>
      </c>
      <c r="O83" s="8">
        <v>0</v>
      </c>
      <c r="P83" s="16">
        <v>0</v>
      </c>
      <c r="W83" s="15">
        <v>0</v>
      </c>
      <c r="X83" s="8">
        <v>0</v>
      </c>
      <c r="Y83" s="8">
        <v>0</v>
      </c>
      <c r="Z83" s="8">
        <v>0</v>
      </c>
      <c r="AA83" s="8">
        <f t="shared" si="34"/>
        <v>0</v>
      </c>
      <c r="AB83" s="8">
        <f t="shared" si="32"/>
        <v>-5.539473530604512E-2</v>
      </c>
      <c r="AC83" s="8">
        <f t="shared" si="32"/>
        <v>0.11070847292949042</v>
      </c>
      <c r="AD83" s="16">
        <f t="shared" si="32"/>
        <v>-5.5313737623445297E-2</v>
      </c>
    </row>
    <row r="84" spans="1:30" x14ac:dyDescent="0.3">
      <c r="H84">
        <v>4</v>
      </c>
      <c r="I84" s="12">
        <f t="shared" si="35"/>
        <v>-5.5313737623445297E-2</v>
      </c>
      <c r="J84" s="12">
        <f t="shared" si="36"/>
        <v>-5.5313737623445297E-2</v>
      </c>
      <c r="K84" s="12">
        <f t="shared" si="37"/>
        <v>0.11062747524689059</v>
      </c>
      <c r="M84" s="15">
        <v>0</v>
      </c>
      <c r="N84" s="23">
        <v>0</v>
      </c>
      <c r="O84" s="8">
        <f>J83</f>
        <v>5.5313737623445297E-2</v>
      </c>
      <c r="P84" s="8">
        <f>K83</f>
        <v>-5.5313737623445297E-2</v>
      </c>
      <c r="W84" s="17">
        <v>0</v>
      </c>
      <c r="X84" s="18">
        <v>0</v>
      </c>
      <c r="Y84" s="18">
        <v>0</v>
      </c>
      <c r="Z84" s="18">
        <v>0</v>
      </c>
      <c r="AA84" s="18">
        <f t="shared" si="34"/>
        <v>-5.5313737623445297E-2</v>
      </c>
      <c r="AB84" s="18">
        <f t="shared" si="32"/>
        <v>0</v>
      </c>
      <c r="AC84" s="18">
        <f t="shared" si="32"/>
        <v>-5.5313737623445297E-2</v>
      </c>
      <c r="AD84" s="19">
        <f t="shared" si="32"/>
        <v>0.11062747524689059</v>
      </c>
    </row>
    <row r="85" spans="1:30" x14ac:dyDescent="0.3">
      <c r="M85" s="15">
        <f>I84</f>
        <v>-5.5313737623445297E-2</v>
      </c>
      <c r="N85" s="18">
        <v>0</v>
      </c>
      <c r="O85" s="8">
        <f>J84</f>
        <v>-5.5313737623445297E-2</v>
      </c>
      <c r="P85" s="8">
        <f>K84</f>
        <v>0.11062747524689059</v>
      </c>
    </row>
    <row r="86" spans="1:30" x14ac:dyDescent="0.3">
      <c r="A86" t="s">
        <v>86</v>
      </c>
      <c r="J86" t="s">
        <v>85</v>
      </c>
    </row>
    <row r="87" spans="1:30" x14ac:dyDescent="0.3">
      <c r="A87" t="s">
        <v>38</v>
      </c>
      <c r="J87" t="s">
        <v>41</v>
      </c>
      <c r="K87" t="s">
        <v>42</v>
      </c>
    </row>
    <row r="88" spans="1:30" x14ac:dyDescent="0.3">
      <c r="H88" t="s">
        <v>43</v>
      </c>
      <c r="J88" s="36">
        <f>(C187+C189+C191)/3</f>
        <v>0.39016546260106227</v>
      </c>
      <c r="K88" s="36">
        <f>(C188+C190+C192)/3</f>
        <v>-0.1099965598125589</v>
      </c>
    </row>
    <row r="89" spans="1:30" x14ac:dyDescent="0.3">
      <c r="H89" t="s">
        <v>39</v>
      </c>
      <c r="L89" t="s">
        <v>36</v>
      </c>
    </row>
    <row r="90" spans="1:30" x14ac:dyDescent="0.3">
      <c r="H90" s="12">
        <f t="array" ref="H90:J92">P41*MMULT(I20:I22,E24:G24)</f>
        <v>-0.16666666666666671</v>
      </c>
      <c r="I90" s="13">
        <v>0.16666666666666671</v>
      </c>
      <c r="J90" s="14">
        <v>0</v>
      </c>
      <c r="K90">
        <v>1</v>
      </c>
      <c r="L90" s="12">
        <f t="array" ref="L90">$J$88*H90+$K$88*H95</f>
        <v>-6.5027577100177064E-2</v>
      </c>
      <c r="M90" s="13">
        <f t="shared" ref="M90:N92" si="38">$J$88*I90+$K$88*I95</f>
        <v>8.3360337068936891E-2</v>
      </c>
      <c r="N90" s="14">
        <f t="shared" si="38"/>
        <v>-1.8332759968759823E-2</v>
      </c>
    </row>
    <row r="91" spans="1:30" x14ac:dyDescent="0.3">
      <c r="H91" s="15">
        <v>-0.16666666666666666</v>
      </c>
      <c r="I91" s="8">
        <v>0.16666666666666666</v>
      </c>
      <c r="J91" s="16">
        <v>0</v>
      </c>
      <c r="K91">
        <v>2</v>
      </c>
      <c r="L91" s="15">
        <f t="shared" ref="L91:L92" si="39">$J$88*H91+$K$88*H96</f>
        <v>-6.5027577100177036E-2</v>
      </c>
      <c r="M91" s="8">
        <f t="shared" si="38"/>
        <v>8.3360337068936849E-2</v>
      </c>
      <c r="N91" s="16">
        <f t="shared" si="38"/>
        <v>-1.8332759968759816E-2</v>
      </c>
    </row>
    <row r="92" spans="1:30" x14ac:dyDescent="0.3">
      <c r="H92" s="17">
        <v>-0.16666666666666666</v>
      </c>
      <c r="I92" s="18">
        <v>0.16666666666666666</v>
      </c>
      <c r="J92" s="19">
        <v>0</v>
      </c>
      <c r="K92">
        <v>3</v>
      </c>
      <c r="L92" s="17">
        <f t="shared" si="39"/>
        <v>-6.5027577100177036E-2</v>
      </c>
      <c r="M92" s="18">
        <f t="shared" si="38"/>
        <v>8.3360337068936849E-2</v>
      </c>
      <c r="N92" s="19">
        <f t="shared" si="38"/>
        <v>-1.8332759968759816E-2</v>
      </c>
    </row>
    <row r="94" spans="1:30" x14ac:dyDescent="0.3">
      <c r="H94" t="s">
        <v>40</v>
      </c>
      <c r="L94" s="12">
        <f>L90</f>
        <v>-6.5027577100177064E-2</v>
      </c>
      <c r="M94" s="12">
        <f t="shared" ref="M94:N94" si="40">M90</f>
        <v>8.3360337068936891E-2</v>
      </c>
      <c r="N94" s="12">
        <f t="shared" si="40"/>
        <v>-1.8332759968759823E-2</v>
      </c>
      <c r="O94" s="14">
        <v>0</v>
      </c>
      <c r="Q94" s="12">
        <f>L94+L106</f>
        <v>-8.3139146902946992E-2</v>
      </c>
      <c r="R94" s="12">
        <f t="shared" ref="R94:T97" si="41">M94+M106</f>
        <v>8.3360337068936891E-2</v>
      </c>
      <c r="S94" s="12">
        <f t="shared" si="41"/>
        <v>8.2583591347391433E-2</v>
      </c>
      <c r="T94" s="12">
        <f t="shared" si="41"/>
        <v>-8.2804781513381331E-2</v>
      </c>
    </row>
    <row r="95" spans="1:30" x14ac:dyDescent="0.3">
      <c r="H95" s="12">
        <f t="array" ref="H95:J97">P15*MMULT(I20:I22,E25:G25)</f>
        <v>0</v>
      </c>
      <c r="I95" s="13">
        <v>-0.16666666666666671</v>
      </c>
      <c r="J95" s="14">
        <v>0.16666666666666671</v>
      </c>
      <c r="L95" s="12">
        <f t="shared" ref="L95:N96" si="42">L91</f>
        <v>-6.5027577100177036E-2</v>
      </c>
      <c r="M95" s="12">
        <f t="shared" si="42"/>
        <v>8.3360337068936849E-2</v>
      </c>
      <c r="N95" s="12">
        <f t="shared" si="42"/>
        <v>-1.8332759968759816E-2</v>
      </c>
      <c r="O95" s="16">
        <v>0</v>
      </c>
      <c r="Q95" s="12">
        <f t="shared" ref="Q95:Q97" si="43">L95+L107</f>
        <v>-6.5027577100177036E-2</v>
      </c>
      <c r="R95" s="12">
        <f t="shared" si="41"/>
        <v>8.3360337068936849E-2</v>
      </c>
      <c r="S95" s="12">
        <f t="shared" si="41"/>
        <v>-1.8332759968759816E-2</v>
      </c>
      <c r="T95" s="12">
        <f t="shared" si="41"/>
        <v>0</v>
      </c>
    </row>
    <row r="96" spans="1:30" x14ac:dyDescent="0.3">
      <c r="H96" s="15">
        <v>0</v>
      </c>
      <c r="I96" s="8">
        <v>-0.16666666666666666</v>
      </c>
      <c r="J96" s="16">
        <v>0.16666666666666666</v>
      </c>
      <c r="L96" s="12">
        <f t="shared" si="42"/>
        <v>-6.5027577100177036E-2</v>
      </c>
      <c r="M96" s="12">
        <f t="shared" si="42"/>
        <v>8.3360337068936849E-2</v>
      </c>
      <c r="N96" s="12">
        <f t="shared" si="42"/>
        <v>-1.8332759968759816E-2</v>
      </c>
      <c r="O96" s="16">
        <v>0</v>
      </c>
      <c r="Q96" s="12">
        <f t="shared" si="43"/>
        <v>-8.3139146902946964E-2</v>
      </c>
      <c r="R96" s="12">
        <f t="shared" si="41"/>
        <v>8.3360337068936849E-2</v>
      </c>
      <c r="S96" s="12">
        <f t="shared" si="41"/>
        <v>8.2583591347391419E-2</v>
      </c>
      <c r="T96" s="12">
        <f t="shared" si="41"/>
        <v>-8.2804781513381304E-2</v>
      </c>
    </row>
    <row r="97" spans="8:24" x14ac:dyDescent="0.3">
      <c r="H97" s="17">
        <v>0</v>
      </c>
      <c r="I97" s="18">
        <v>-0.16666666666666666</v>
      </c>
      <c r="J97" s="19">
        <v>0.16666666666666666</v>
      </c>
      <c r="L97" s="17">
        <v>0</v>
      </c>
      <c r="M97" s="18">
        <v>0</v>
      </c>
      <c r="N97" s="18">
        <v>0</v>
      </c>
      <c r="O97" s="19">
        <v>0</v>
      </c>
      <c r="Q97" s="12">
        <f t="shared" si="43"/>
        <v>-1.8111569802769924E-2</v>
      </c>
      <c r="R97" s="12">
        <f t="shared" si="41"/>
        <v>0</v>
      </c>
      <c r="S97" s="12">
        <f t="shared" si="41"/>
        <v>0.10091635131615123</v>
      </c>
      <c r="T97" s="12">
        <f t="shared" si="41"/>
        <v>-8.2804781513381304E-2</v>
      </c>
    </row>
    <row r="99" spans="8:24" x14ac:dyDescent="0.3">
      <c r="J99" t="s">
        <v>41</v>
      </c>
      <c r="K99" t="s">
        <v>42</v>
      </c>
    </row>
    <row r="100" spans="8:24" x14ac:dyDescent="0.3">
      <c r="H100" t="s">
        <v>44</v>
      </c>
      <c r="J100" s="36">
        <f>(C187+C191+C193)/3</f>
        <v>0.60549810789690739</v>
      </c>
      <c r="K100" s="36">
        <f>(C188+C192+C194)/3</f>
        <v>0.10866941881661955</v>
      </c>
    </row>
    <row r="101" spans="8:24" x14ac:dyDescent="0.3">
      <c r="H101" t="s">
        <v>39</v>
      </c>
      <c r="L101" t="s">
        <v>45</v>
      </c>
      <c r="Q101" t="s">
        <v>56</v>
      </c>
      <c r="R101" t="s">
        <v>51</v>
      </c>
    </row>
    <row r="102" spans="8:24" x14ac:dyDescent="0.3">
      <c r="H102" s="12">
        <f t="array" ref="H102:J104">P41*MMULT(I46:I48,E50:G50)</f>
        <v>0</v>
      </c>
      <c r="I102" s="13">
        <v>0.16666666666666671</v>
      </c>
      <c r="J102" s="14">
        <v>-0.16666666666666671</v>
      </c>
      <c r="K102">
        <v>1</v>
      </c>
      <c r="L102" s="12">
        <f>$J$100*H102+$K$100*H107</f>
        <v>-1.8111569802769931E-2</v>
      </c>
      <c r="M102" s="12">
        <f t="shared" ref="M102:N104" si="44">$J$100*I102+$K$100*I107</f>
        <v>0.10091635131615126</v>
      </c>
      <c r="N102" s="12">
        <f t="shared" si="44"/>
        <v>-8.2804781513381331E-2</v>
      </c>
      <c r="Q102" s="12">
        <f>Q94</f>
        <v>-8.3139146902946992E-2</v>
      </c>
      <c r="R102" s="13">
        <f t="shared" ref="R102:T102" si="45">R94</f>
        <v>8.3360337068936891E-2</v>
      </c>
      <c r="S102" s="13">
        <f t="shared" si="45"/>
        <v>8.2583591347391433E-2</v>
      </c>
      <c r="T102" s="13">
        <f t="shared" si="45"/>
        <v>-8.2804781513381331E-2</v>
      </c>
      <c r="U102" s="13">
        <v>0</v>
      </c>
      <c r="V102" s="13">
        <v>0</v>
      </c>
      <c r="W102" s="13">
        <v>0</v>
      </c>
      <c r="X102" s="14">
        <v>0</v>
      </c>
    </row>
    <row r="103" spans="8:24" x14ac:dyDescent="0.3">
      <c r="H103" s="15">
        <v>0</v>
      </c>
      <c r="I103" s="8">
        <v>0.16666666666666666</v>
      </c>
      <c r="J103" s="16">
        <v>-0.16666666666666666</v>
      </c>
      <c r="K103">
        <v>3</v>
      </c>
      <c r="L103" s="12">
        <f t="shared" ref="L103:L104" si="46">$J$100*H103+$K$100*H108</f>
        <v>-1.8111569802769924E-2</v>
      </c>
      <c r="M103" s="12">
        <f t="shared" si="44"/>
        <v>0.10091635131615123</v>
      </c>
      <c r="N103" s="12">
        <f t="shared" si="44"/>
        <v>-8.2804781513381304E-2</v>
      </c>
      <c r="Q103" s="15">
        <f t="shared" ref="Q103:T105" si="47">Q95</f>
        <v>-6.5027577100177036E-2</v>
      </c>
      <c r="R103" s="8">
        <f t="shared" si="47"/>
        <v>8.3360337068936849E-2</v>
      </c>
      <c r="S103" s="8">
        <f t="shared" si="47"/>
        <v>-1.8332759968759816E-2</v>
      </c>
      <c r="T103" s="8">
        <f t="shared" si="47"/>
        <v>0</v>
      </c>
      <c r="U103" s="8">
        <v>0</v>
      </c>
      <c r="V103" s="8">
        <v>0</v>
      </c>
      <c r="W103" s="8">
        <v>0</v>
      </c>
      <c r="X103" s="16">
        <v>0</v>
      </c>
    </row>
    <row r="104" spans="8:24" x14ac:dyDescent="0.3">
      <c r="H104" s="17">
        <v>0</v>
      </c>
      <c r="I104" s="18">
        <v>0.16666666666666666</v>
      </c>
      <c r="J104" s="19">
        <v>-0.16666666666666666</v>
      </c>
      <c r="K104">
        <v>4</v>
      </c>
      <c r="L104" s="12">
        <f t="shared" si="46"/>
        <v>-1.8111569802769924E-2</v>
      </c>
      <c r="M104" s="12">
        <f t="shared" si="44"/>
        <v>0.10091635131615123</v>
      </c>
      <c r="N104" s="12">
        <f t="shared" si="44"/>
        <v>-8.2804781513381304E-2</v>
      </c>
      <c r="Q104" s="15">
        <f t="shared" si="47"/>
        <v>-8.3139146902946964E-2</v>
      </c>
      <c r="R104" s="8">
        <f t="shared" si="47"/>
        <v>8.3360337068936849E-2</v>
      </c>
      <c r="S104" s="8">
        <f t="shared" si="47"/>
        <v>8.2583591347391419E-2</v>
      </c>
      <c r="T104" s="8">
        <f t="shared" si="47"/>
        <v>-8.2804781513381304E-2</v>
      </c>
      <c r="U104" s="8">
        <v>0</v>
      </c>
      <c r="V104" s="8">
        <v>0</v>
      </c>
      <c r="W104" s="8">
        <v>0</v>
      </c>
      <c r="X104" s="16">
        <v>0</v>
      </c>
    </row>
    <row r="105" spans="8:24" x14ac:dyDescent="0.3">
      <c r="Q105" s="15">
        <f t="shared" si="47"/>
        <v>-1.8111569802769924E-2</v>
      </c>
      <c r="R105" s="8">
        <f t="shared" si="47"/>
        <v>0</v>
      </c>
      <c r="S105" s="8">
        <f t="shared" si="47"/>
        <v>0.10091635131615123</v>
      </c>
      <c r="T105" s="8">
        <f t="shared" si="47"/>
        <v>-8.2804781513381304E-2</v>
      </c>
      <c r="U105" s="8">
        <v>0</v>
      </c>
      <c r="V105" s="8">
        <v>0</v>
      </c>
      <c r="W105" s="8">
        <v>0</v>
      </c>
      <c r="X105" s="16">
        <v>0</v>
      </c>
    </row>
    <row r="106" spans="8:24" x14ac:dyDescent="0.3">
      <c r="H106" t="s">
        <v>40</v>
      </c>
      <c r="L106" s="12">
        <f>L102</f>
        <v>-1.8111569802769931E-2</v>
      </c>
      <c r="M106" s="12">
        <v>0</v>
      </c>
      <c r="N106" s="12">
        <f>M102</f>
        <v>0.10091635131615126</v>
      </c>
      <c r="O106" s="12">
        <f>N102</f>
        <v>-8.2804781513381331E-2</v>
      </c>
      <c r="Q106" s="15">
        <v>0</v>
      </c>
      <c r="R106" s="8">
        <v>0</v>
      </c>
      <c r="S106" s="8">
        <v>0</v>
      </c>
      <c r="T106" s="8">
        <v>0</v>
      </c>
      <c r="U106" s="8">
        <f>Q94</f>
        <v>-8.3139146902946992E-2</v>
      </c>
      <c r="V106" s="8">
        <f t="shared" ref="V106:X109" si="48">R94</f>
        <v>8.3360337068936891E-2</v>
      </c>
      <c r="W106" s="8">
        <f t="shared" si="48"/>
        <v>8.2583591347391433E-2</v>
      </c>
      <c r="X106" s="16">
        <f t="shared" si="48"/>
        <v>-8.2804781513381331E-2</v>
      </c>
    </row>
    <row r="107" spans="8:24" x14ac:dyDescent="0.3">
      <c r="H107" s="12">
        <f t="array" ref="H107:J109">P41*MMULT(I46:I48,E51:G51)</f>
        <v>-0.16666666666666671</v>
      </c>
      <c r="I107" s="13">
        <v>0</v>
      </c>
      <c r="J107" s="14">
        <v>0.16666666666666671</v>
      </c>
      <c r="L107" s="12">
        <v>0</v>
      </c>
      <c r="M107" s="12">
        <v>0</v>
      </c>
      <c r="N107" s="12">
        <v>0</v>
      </c>
      <c r="O107" s="16">
        <v>0</v>
      </c>
      <c r="Q107" s="15">
        <v>0</v>
      </c>
      <c r="R107" s="8">
        <v>0</v>
      </c>
      <c r="S107" s="8">
        <v>0</v>
      </c>
      <c r="T107" s="8">
        <v>0</v>
      </c>
      <c r="U107" s="8">
        <f t="shared" ref="U107:U109" si="49">Q95</f>
        <v>-6.5027577100177036E-2</v>
      </c>
      <c r="V107" s="8">
        <f t="shared" si="48"/>
        <v>8.3360337068936849E-2</v>
      </c>
      <c r="W107" s="8">
        <f t="shared" si="48"/>
        <v>-1.8332759968759816E-2</v>
      </c>
      <c r="X107" s="16">
        <f t="shared" si="48"/>
        <v>0</v>
      </c>
    </row>
    <row r="108" spans="8:24" x14ac:dyDescent="0.3">
      <c r="H108" s="15">
        <v>-0.16666666666666666</v>
      </c>
      <c r="I108" s="8">
        <v>0</v>
      </c>
      <c r="J108" s="16">
        <v>0.16666666666666666</v>
      </c>
      <c r="L108" s="12">
        <f>L103</f>
        <v>-1.8111569802769924E-2</v>
      </c>
      <c r="M108" s="12">
        <v>0</v>
      </c>
      <c r="N108" s="12">
        <f>M103</f>
        <v>0.10091635131615123</v>
      </c>
      <c r="O108" s="12">
        <f>N103</f>
        <v>-8.2804781513381304E-2</v>
      </c>
      <c r="Q108" s="15">
        <v>0</v>
      </c>
      <c r="R108" s="8">
        <v>0</v>
      </c>
      <c r="S108" s="8">
        <v>0</v>
      </c>
      <c r="T108" s="8">
        <v>0</v>
      </c>
      <c r="U108" s="8">
        <f t="shared" si="49"/>
        <v>-8.3139146902946964E-2</v>
      </c>
      <c r="V108" s="8">
        <f t="shared" si="48"/>
        <v>8.3360337068936849E-2</v>
      </c>
      <c r="W108" s="8">
        <f t="shared" si="48"/>
        <v>8.2583591347391419E-2</v>
      </c>
      <c r="X108" s="16">
        <f t="shared" si="48"/>
        <v>-8.2804781513381304E-2</v>
      </c>
    </row>
    <row r="109" spans="8:24" x14ac:dyDescent="0.3">
      <c r="H109" s="17">
        <v>-0.16666666666666666</v>
      </c>
      <c r="I109" s="18">
        <v>0</v>
      </c>
      <c r="J109" s="19">
        <v>0.16666666666666666</v>
      </c>
      <c r="L109" s="12">
        <f>L104</f>
        <v>-1.8111569802769924E-2</v>
      </c>
      <c r="M109" s="18">
        <v>0</v>
      </c>
      <c r="N109" s="12">
        <f>M104</f>
        <v>0.10091635131615123</v>
      </c>
      <c r="O109" s="12">
        <f>N104</f>
        <v>-8.2804781513381304E-2</v>
      </c>
      <c r="Q109" s="17">
        <v>0</v>
      </c>
      <c r="R109" s="18">
        <v>0</v>
      </c>
      <c r="S109" s="18">
        <v>0</v>
      </c>
      <c r="T109" s="18">
        <v>0</v>
      </c>
      <c r="U109" s="18">
        <f t="shared" si="49"/>
        <v>-1.8111569802769924E-2</v>
      </c>
      <c r="V109" s="18">
        <v>0</v>
      </c>
      <c r="W109" s="18">
        <f t="shared" si="48"/>
        <v>0.10091635131615123</v>
      </c>
      <c r="X109" s="19">
        <f t="shared" si="48"/>
        <v>-8.2804781513381304E-2</v>
      </c>
    </row>
    <row r="113" spans="11:21" x14ac:dyDescent="0.3">
      <c r="K113" t="s">
        <v>50</v>
      </c>
    </row>
    <row r="114" spans="11:21" x14ac:dyDescent="0.3">
      <c r="K114" s="26">
        <v>1</v>
      </c>
      <c r="L114" s="26"/>
      <c r="M114" s="26">
        <v>2</v>
      </c>
      <c r="N114" s="26"/>
      <c r="O114" s="26">
        <v>3</v>
      </c>
    </row>
    <row r="115" spans="11:21" x14ac:dyDescent="0.3">
      <c r="K115">
        <f>O24</f>
        <v>-1</v>
      </c>
      <c r="L115">
        <f>P24</f>
        <v>0</v>
      </c>
      <c r="M115">
        <f>O25</f>
        <v>1</v>
      </c>
      <c r="N115">
        <f>P25</f>
        <v>-1</v>
      </c>
      <c r="O115">
        <f>O26</f>
        <v>0</v>
      </c>
      <c r="P115">
        <f>P26</f>
        <v>1</v>
      </c>
    </row>
    <row r="116" spans="11:21" x14ac:dyDescent="0.3">
      <c r="K116" t="s">
        <v>46</v>
      </c>
    </row>
    <row r="117" spans="11:21" x14ac:dyDescent="0.3">
      <c r="K117" s="21">
        <f t="array" ref="K117">K115*$P$15</f>
        <v>-0.5</v>
      </c>
      <c r="L117" s="24">
        <f t="shared" ref="L117:P117" si="50">L115*$P$15</f>
        <v>0</v>
      </c>
      <c r="M117" s="24">
        <f t="shared" si="50"/>
        <v>0.5</v>
      </c>
      <c r="N117" s="24">
        <f t="shared" si="50"/>
        <v>-0.5</v>
      </c>
      <c r="O117" s="24">
        <f t="shared" si="50"/>
        <v>0</v>
      </c>
      <c r="P117" s="25">
        <f t="shared" si="50"/>
        <v>0.5</v>
      </c>
    </row>
    <row r="119" spans="11:21" x14ac:dyDescent="0.3">
      <c r="K119" s="26">
        <v>1</v>
      </c>
      <c r="L119" s="26"/>
      <c r="M119" s="26">
        <v>3</v>
      </c>
      <c r="N119" s="26"/>
      <c r="O119" s="26">
        <v>4</v>
      </c>
    </row>
    <row r="120" spans="11:21" x14ac:dyDescent="0.3">
      <c r="K120">
        <f>O50</f>
        <v>0</v>
      </c>
      <c r="L120">
        <f>P50</f>
        <v>-1</v>
      </c>
      <c r="M120">
        <f>O51</f>
        <v>1</v>
      </c>
      <c r="N120">
        <f>P51</f>
        <v>0</v>
      </c>
      <c r="O120">
        <f>O52</f>
        <v>-1</v>
      </c>
      <c r="P120">
        <f>P52</f>
        <v>1</v>
      </c>
    </row>
    <row r="121" spans="11:21" x14ac:dyDescent="0.3">
      <c r="K121" t="s">
        <v>47</v>
      </c>
    </row>
    <row r="122" spans="11:21" x14ac:dyDescent="0.3">
      <c r="K122" s="21">
        <f>K120*$P$41</f>
        <v>0</v>
      </c>
      <c r="L122" s="24">
        <f t="shared" ref="L122:P122" si="51">L120*$P$41</f>
        <v>-0.5</v>
      </c>
      <c r="M122" s="24">
        <f t="shared" si="51"/>
        <v>0.5</v>
      </c>
      <c r="N122" s="24">
        <f t="shared" si="51"/>
        <v>0</v>
      </c>
      <c r="O122" s="24">
        <f t="shared" si="51"/>
        <v>-0.5</v>
      </c>
      <c r="P122" s="25">
        <f t="shared" si="51"/>
        <v>0.5</v>
      </c>
    </row>
    <row r="124" spans="11:21" x14ac:dyDescent="0.3">
      <c r="K124" t="s">
        <v>48</v>
      </c>
      <c r="L124" t="s">
        <v>49</v>
      </c>
      <c r="T124" t="s">
        <v>23</v>
      </c>
    </row>
    <row r="125" spans="11:21" x14ac:dyDescent="0.3">
      <c r="K125" s="12">
        <f>K117</f>
        <v>-0.5</v>
      </c>
      <c r="L125" s="12">
        <f t="shared" ref="L125:P125" si="52">L117</f>
        <v>0</v>
      </c>
      <c r="M125" s="12">
        <f t="shared" si="52"/>
        <v>0.5</v>
      </c>
      <c r="N125" s="12">
        <f t="shared" si="52"/>
        <v>-0.5</v>
      </c>
      <c r="O125" s="12">
        <f t="shared" si="52"/>
        <v>0</v>
      </c>
      <c r="P125" s="12">
        <f t="shared" si="52"/>
        <v>0.5</v>
      </c>
      <c r="Q125" s="27">
        <v>0</v>
      </c>
      <c r="R125" s="28">
        <v>0</v>
      </c>
      <c r="T125" s="12">
        <f t="array" ref="T125:U132">TRANSPOSE(K125:R126)</f>
        <v>-0.5</v>
      </c>
      <c r="U125" s="14">
        <v>0</v>
      </c>
    </row>
    <row r="126" spans="11:21" x14ac:dyDescent="0.3">
      <c r="K126" s="17">
        <f>K122</f>
        <v>0</v>
      </c>
      <c r="L126" s="17">
        <f>L122</f>
        <v>-0.5</v>
      </c>
      <c r="M126" s="29">
        <v>0</v>
      </c>
      <c r="N126" s="29">
        <v>0</v>
      </c>
      <c r="O126" s="18">
        <f>M122</f>
        <v>0.5</v>
      </c>
      <c r="P126" s="18">
        <f t="shared" ref="P126:R126" si="53">N122</f>
        <v>0</v>
      </c>
      <c r="Q126" s="18">
        <f t="shared" si="53"/>
        <v>-0.5</v>
      </c>
      <c r="R126" s="18">
        <f t="shared" si="53"/>
        <v>0.5</v>
      </c>
      <c r="T126" s="15">
        <v>0</v>
      </c>
      <c r="U126" s="16">
        <v>-0.5</v>
      </c>
    </row>
    <row r="127" spans="11:21" x14ac:dyDescent="0.3">
      <c r="T127" s="15">
        <v>0.5</v>
      </c>
      <c r="U127" s="16">
        <v>0</v>
      </c>
    </row>
    <row r="128" spans="11:21" x14ac:dyDescent="0.3">
      <c r="T128" s="15">
        <v>-0.5</v>
      </c>
      <c r="U128" s="16">
        <v>0</v>
      </c>
    </row>
    <row r="129" spans="20:21" x14ac:dyDescent="0.3">
      <c r="T129" s="15">
        <v>0</v>
      </c>
      <c r="U129" s="16">
        <v>0.5</v>
      </c>
    </row>
    <row r="130" spans="20:21" x14ac:dyDescent="0.3">
      <c r="T130" s="15">
        <v>0.5</v>
      </c>
      <c r="U130" s="16">
        <v>0</v>
      </c>
    </row>
    <row r="131" spans="20:21" x14ac:dyDescent="0.3">
      <c r="T131" s="15">
        <v>0</v>
      </c>
      <c r="U131" s="16">
        <v>-0.5</v>
      </c>
    </row>
    <row r="132" spans="20:21" x14ac:dyDescent="0.3">
      <c r="T132" s="17">
        <v>0</v>
      </c>
      <c r="U132" s="19">
        <v>0.5</v>
      </c>
    </row>
    <row r="167" spans="11:18" x14ac:dyDescent="0.3">
      <c r="K167" t="s">
        <v>58</v>
      </c>
      <c r="L167" t="s">
        <v>59</v>
      </c>
    </row>
    <row r="168" spans="11:18" x14ac:dyDescent="0.3">
      <c r="K168" t="s">
        <v>61</v>
      </c>
      <c r="N168" t="s">
        <v>58</v>
      </c>
      <c r="Q168" t="s">
        <v>28</v>
      </c>
    </row>
    <row r="169" spans="11:18" x14ac:dyDescent="0.3">
      <c r="K169" s="12">
        <f t="array" ref="K169:L176">MMULT(AL73:AS80,T125:U132)</f>
        <v>-1.4999999999999993</v>
      </c>
      <c r="L169" s="14">
        <v>0</v>
      </c>
      <c r="N169" s="30">
        <f t="array" ref="N169:O170">MMULT(K125:R126,K169:L176)</f>
        <v>4.4999999999999991</v>
      </c>
      <c r="O169" s="31">
        <v>0</v>
      </c>
      <c r="Q169">
        <f t="array" ref="Q169:R170">MINVERSE(N169:O170)</f>
        <v>0.22222222222222227</v>
      </c>
      <c r="R169">
        <v>0</v>
      </c>
    </row>
    <row r="170" spans="11:18" x14ac:dyDescent="0.3">
      <c r="K170" s="15">
        <v>0</v>
      </c>
      <c r="L170" s="16">
        <v>-2.9999999999999996</v>
      </c>
      <c r="N170" s="32">
        <v>0</v>
      </c>
      <c r="O170" s="33">
        <v>4.4999999999999991</v>
      </c>
      <c r="Q170">
        <v>0</v>
      </c>
      <c r="R170">
        <v>0.22222222222222227</v>
      </c>
    </row>
    <row r="171" spans="11:18" x14ac:dyDescent="0.3">
      <c r="K171" s="15">
        <v>1.4999999999999998</v>
      </c>
      <c r="L171" s="16">
        <v>0</v>
      </c>
    </row>
    <row r="172" spans="11:18" x14ac:dyDescent="0.3">
      <c r="K172" s="15">
        <v>-2.9999999999999996</v>
      </c>
      <c r="L172" s="16">
        <v>0</v>
      </c>
    </row>
    <row r="173" spans="11:18" x14ac:dyDescent="0.3">
      <c r="K173" s="15">
        <v>0</v>
      </c>
      <c r="L173" s="16">
        <v>1.4999999999999993</v>
      </c>
    </row>
    <row r="174" spans="11:18" x14ac:dyDescent="0.3">
      <c r="K174" s="15">
        <v>2.9999999999999996</v>
      </c>
      <c r="L174" s="16">
        <v>0</v>
      </c>
    </row>
    <row r="175" spans="11:18" x14ac:dyDescent="0.3">
      <c r="K175" s="15">
        <v>0</v>
      </c>
      <c r="L175" s="16">
        <v>-1.4999999999999998</v>
      </c>
    </row>
    <row r="176" spans="11:18" x14ac:dyDescent="0.3">
      <c r="K176" s="17">
        <v>0</v>
      </c>
      <c r="L176" s="19">
        <v>2.9999999999999996</v>
      </c>
    </row>
    <row r="187" spans="1:7" x14ac:dyDescent="0.3">
      <c r="A187" t="s">
        <v>62</v>
      </c>
      <c r="B187" t="s">
        <v>77</v>
      </c>
      <c r="C187" s="20">
        <f>'для 2 треугольников'!N238</f>
        <v>0.83749741985941928</v>
      </c>
      <c r="D187" t="s">
        <v>1</v>
      </c>
      <c r="E187" s="11">
        <f>S3</f>
        <v>0.03</v>
      </c>
      <c r="F187" t="s">
        <v>63</v>
      </c>
      <c r="G187" s="20">
        <f>'для 2 треугольников'!G187</f>
        <v>0</v>
      </c>
    </row>
    <row r="188" spans="1:7" x14ac:dyDescent="0.3">
      <c r="B188" t="s">
        <v>78</v>
      </c>
      <c r="C188" s="20">
        <f>'для 2 треугольников'!N239</f>
        <v>-0.33199587177507067</v>
      </c>
      <c r="G188" s="20">
        <f>'для 2 треугольников'!G188</f>
        <v>0</v>
      </c>
    </row>
    <row r="189" spans="1:7" x14ac:dyDescent="0.3">
      <c r="B189" t="s">
        <v>79</v>
      </c>
      <c r="C189" s="20">
        <f>'для 2 треугольников'!N240</f>
        <v>0.17149948397188383</v>
      </c>
      <c r="G189" s="20">
        <f>'для 2 треугольников'!G189</f>
        <v>0</v>
      </c>
    </row>
    <row r="190" spans="1:7" x14ac:dyDescent="0.3">
      <c r="B190" t="s">
        <v>80</v>
      </c>
      <c r="C190" s="20">
        <f>'для 2 треугольников'!N241</f>
        <v>-0.33199587177507067</v>
      </c>
      <c r="G190" s="20">
        <f>'для 2 треугольников'!G190</f>
        <v>0</v>
      </c>
    </row>
    <row r="191" spans="1:7" x14ac:dyDescent="0.3">
      <c r="B191" t="s">
        <v>81</v>
      </c>
      <c r="C191" s="20">
        <f>'для 2 треугольников'!N242</f>
        <v>0.16149948397188377</v>
      </c>
      <c r="G191" s="20">
        <f>'для 2 треугольников'!G191</f>
        <v>0</v>
      </c>
    </row>
    <row r="192" spans="1:7" x14ac:dyDescent="0.3">
      <c r="B192" t="s">
        <v>82</v>
      </c>
      <c r="C192" s="20">
        <f>'для 2 треугольников'!N243</f>
        <v>0.33400206411246464</v>
      </c>
      <c r="G192" s="20">
        <f>'для 2 треугольников'!G192</f>
        <v>0</v>
      </c>
    </row>
    <row r="193" spans="2:15" x14ac:dyDescent="0.3">
      <c r="B193" t="s">
        <v>83</v>
      </c>
      <c r="C193" s="20">
        <f>'для 2 треугольников'!N244</f>
        <v>0.81749741985941915</v>
      </c>
      <c r="G193" s="20">
        <f>'для 2 треугольников'!G193</f>
        <v>0</v>
      </c>
    </row>
    <row r="194" spans="2:15" x14ac:dyDescent="0.3">
      <c r="B194" t="s">
        <v>84</v>
      </c>
      <c r="C194" s="20">
        <f>'для 2 треугольников'!N245</f>
        <v>0.32400206411246468</v>
      </c>
      <c r="G194" s="20">
        <f>'для 2 треугольников'!G194</f>
        <v>0</v>
      </c>
    </row>
    <row r="195" spans="2:15" x14ac:dyDescent="0.3">
      <c r="C195" t="s">
        <v>64</v>
      </c>
    </row>
    <row r="196" spans="2:15" x14ac:dyDescent="0.3">
      <c r="I196" t="s">
        <v>65</v>
      </c>
      <c r="K196" t="s">
        <v>66</v>
      </c>
      <c r="M196" t="s">
        <v>67</v>
      </c>
      <c r="O196" t="s">
        <v>68</v>
      </c>
    </row>
    <row r="197" spans="2:15" x14ac:dyDescent="0.3">
      <c r="I197" s="20">
        <f t="array" ref="I197:I204">MMULT(Q102:X109,C187:C194)</f>
        <v>-5.5650219870894926E-2</v>
      </c>
      <c r="K197" s="20">
        <f>I197*(-1)</f>
        <v>5.5650219870894926E-2</v>
      </c>
      <c r="M197" s="20">
        <f t="array" ref="M197:M204">(-1)*$S$4*MMULT(W77:AD84,C187:C194)</f>
        <v>-1.2947281641813758E-2</v>
      </c>
      <c r="O197" s="20">
        <f>K197+M197+G187</f>
        <v>4.2702938229081167E-2</v>
      </c>
    </row>
    <row r="198" spans="2:15" x14ac:dyDescent="0.3">
      <c r="I198" s="34">
        <v>-8.5279774692195873E-2</v>
      </c>
      <c r="K198" s="34">
        <f t="shared" ref="K198:K204" si="54">I198*(-1)</f>
        <v>8.5279774692195873E-2</v>
      </c>
      <c r="M198" s="34">
        <v>9.2674763291713588E-3</v>
      </c>
      <c r="O198" s="34">
        <f t="shared" ref="O198:O204" si="55">K198+M198+G188</f>
        <v>9.4547251021367226E-2</v>
      </c>
    </row>
    <row r="199" spans="2:15" x14ac:dyDescent="0.3">
      <c r="I199" s="34">
        <v>-5.5650219870894899E-2</v>
      </c>
      <c r="K199" s="34">
        <f t="shared" si="54"/>
        <v>5.5650219870894899E-2</v>
      </c>
      <c r="M199" s="34">
        <v>-5.5741201961835869E-3</v>
      </c>
      <c r="O199" s="34">
        <f t="shared" si="55"/>
        <v>5.0076099674711314E-2</v>
      </c>
    </row>
    <row r="200" spans="2:15" x14ac:dyDescent="0.3">
      <c r="I200" s="34">
        <v>2.9629554821300974E-2</v>
      </c>
      <c r="K200" s="34">
        <f t="shared" si="54"/>
        <v>-2.9629554821300974E-2</v>
      </c>
      <c r="M200" s="34">
        <v>9.2539255088259862E-3</v>
      </c>
      <c r="O200" s="34">
        <f t="shared" si="55"/>
        <v>-2.037562931247499E-2</v>
      </c>
    </row>
    <row r="201" spans="2:15" x14ac:dyDescent="0.3">
      <c r="I201" s="34">
        <v>5.5098548043947093E-2</v>
      </c>
      <c r="K201" s="34">
        <f t="shared" si="54"/>
        <v>-5.5098548043947093E-2</v>
      </c>
      <c r="M201" s="34">
        <v>1.8544359847526299E-3</v>
      </c>
      <c r="O201" s="34">
        <f t="shared" si="55"/>
        <v>-5.3244112059194465E-2</v>
      </c>
    </row>
    <row r="202" spans="2:15" x14ac:dyDescent="0.3">
      <c r="I202" s="34">
        <v>2.3536205271520345E-3</v>
      </c>
      <c r="K202" s="34">
        <f t="shared" si="54"/>
        <v>-2.3536205271520345E-3</v>
      </c>
      <c r="M202" s="34">
        <v>1.7227362486807356E-3</v>
      </c>
      <c r="O202" s="34">
        <f t="shared" si="55"/>
        <v>-6.3088427847129893E-4</v>
      </c>
    </row>
    <row r="203" spans="2:15" x14ac:dyDescent="0.3">
      <c r="I203" s="34">
        <v>5.5098548043947079E-2</v>
      </c>
      <c r="K203" s="34">
        <f t="shared" si="54"/>
        <v>-5.5098548043947079E-2</v>
      </c>
      <c r="M203" s="34">
        <v>-5.4080169879480514E-3</v>
      </c>
      <c r="O203" s="34">
        <f t="shared" si="55"/>
        <v>-6.0506565031895131E-2</v>
      </c>
    </row>
    <row r="204" spans="2:15" x14ac:dyDescent="0.3">
      <c r="I204" s="35">
        <v>5.2744927516795034E-2</v>
      </c>
      <c r="K204" s="35">
        <f t="shared" si="54"/>
        <v>-5.2744927516795034E-2</v>
      </c>
      <c r="M204" s="35">
        <v>1.8308447545146858E-3</v>
      </c>
      <c r="O204" s="35">
        <f t="shared" si="55"/>
        <v>-5.0914082762280349E-2</v>
      </c>
    </row>
    <row r="207" spans="2:15" x14ac:dyDescent="0.3">
      <c r="I207" t="s">
        <v>69</v>
      </c>
      <c r="K207" t="s">
        <v>70</v>
      </c>
      <c r="M207" t="s">
        <v>71</v>
      </c>
    </row>
    <row r="208" spans="2:15" x14ac:dyDescent="0.3">
      <c r="I208">
        <f t="array" ref="I208:I215">MMULT(AL73:AS80,O197:O204)</f>
        <v>0.12810881468724344</v>
      </c>
      <c r="K208">
        <f t="array" ref="K208">$E$187*I208</f>
        <v>3.8432644406173034E-3</v>
      </c>
      <c r="M208" s="20">
        <f>C187+K208</f>
        <v>0.84134068430003661</v>
      </c>
    </row>
    <row r="209" spans="8:13" x14ac:dyDescent="0.3">
      <c r="I209">
        <v>0.56728350612820322</v>
      </c>
      <c r="K209">
        <f t="shared" ref="K209:K215" si="56">$E$187*I209</f>
        <v>1.7018505183846094E-2</v>
      </c>
      <c r="M209" s="34">
        <f t="shared" ref="M209:M215" si="57">C188+K209</f>
        <v>-0.31497736659122455</v>
      </c>
    </row>
    <row r="210" spans="8:13" x14ac:dyDescent="0.3">
      <c r="I210">
        <v>0.15022829902413393</v>
      </c>
      <c r="K210">
        <f t="shared" si="56"/>
        <v>4.5068489707240176E-3</v>
      </c>
      <c r="M210" s="34">
        <f t="shared" si="57"/>
        <v>0.17600633294260784</v>
      </c>
    </row>
    <row r="211" spans="8:13" x14ac:dyDescent="0.3">
      <c r="I211">
        <v>-0.12225377587484992</v>
      </c>
      <c r="K211">
        <f t="shared" si="56"/>
        <v>-3.6676132762454975E-3</v>
      </c>
      <c r="M211" s="34">
        <f t="shared" si="57"/>
        <v>-0.33566348505131616</v>
      </c>
    </row>
    <row r="212" spans="8:13" x14ac:dyDescent="0.3">
      <c r="I212">
        <v>-0.15973233617758331</v>
      </c>
      <c r="K212">
        <f t="shared" si="56"/>
        <v>-4.791970085327499E-3</v>
      </c>
      <c r="M212" s="34">
        <f t="shared" si="57"/>
        <v>0.15670751388655627</v>
      </c>
    </row>
    <row r="213" spans="8:13" x14ac:dyDescent="0.3">
      <c r="I213">
        <v>-3.7853056708277931E-3</v>
      </c>
      <c r="K213">
        <f t="shared" si="56"/>
        <v>-1.1355917012483379E-4</v>
      </c>
      <c r="M213" s="34">
        <f t="shared" si="57"/>
        <v>0.33388850494233979</v>
      </c>
    </row>
    <row r="214" spans="8:13" x14ac:dyDescent="0.3">
      <c r="I214">
        <v>-0.18151969509568536</v>
      </c>
      <c r="K214">
        <f t="shared" si="56"/>
        <v>-5.4455908528705608E-3</v>
      </c>
      <c r="M214" s="34">
        <f t="shared" si="57"/>
        <v>0.8120518290065486</v>
      </c>
    </row>
    <row r="215" spans="8:13" x14ac:dyDescent="0.3">
      <c r="I215">
        <v>-0.30548449657368204</v>
      </c>
      <c r="K215">
        <f t="shared" si="56"/>
        <v>-9.1645348972104607E-3</v>
      </c>
      <c r="M215" s="35">
        <f t="shared" si="57"/>
        <v>0.31483752921525421</v>
      </c>
    </row>
    <row r="218" spans="8:13" x14ac:dyDescent="0.3">
      <c r="I218" t="s">
        <v>72</v>
      </c>
    </row>
    <row r="219" spans="8:13" x14ac:dyDescent="0.3">
      <c r="I219">
        <f t="array" ref="I219:I220">MMULT(K125:R126,M208:M215)</f>
        <v>2.108819318113575E-3</v>
      </c>
    </row>
    <row r="220" spans="8:13" x14ac:dyDescent="0.3">
      <c r="I220">
        <v>-1.2764709656756801E-2</v>
      </c>
    </row>
    <row r="224" spans="8:13" x14ac:dyDescent="0.3">
      <c r="H224" t="s">
        <v>73</v>
      </c>
    </row>
    <row r="225" spans="8:18" x14ac:dyDescent="0.3">
      <c r="H225">
        <f t="array" ref="H225:H226">MMULT(Q169:R170,I219:I220)/$E$187</f>
        <v>1.5620883837878338E-2</v>
      </c>
      <c r="J225" s="40" t="s">
        <v>111</v>
      </c>
      <c r="M225">
        <f>H225+(7.5-($H$225+$H$226)/2)</f>
        <v>7.5550871443513721</v>
      </c>
    </row>
    <row r="226" spans="8:18" x14ac:dyDescent="0.3">
      <c r="H226">
        <v>-9.4553404864865215E-2</v>
      </c>
      <c r="J226" s="40" t="s">
        <v>112</v>
      </c>
      <c r="M226">
        <f>H226+(7.5-($H$225+$H$226)/2)</f>
        <v>7.4449128556486279</v>
      </c>
    </row>
    <row r="237" spans="8:18" x14ac:dyDescent="0.3">
      <c r="J237" t="s">
        <v>74</v>
      </c>
      <c r="L237" t="s">
        <v>75</v>
      </c>
      <c r="N237" t="s">
        <v>76</v>
      </c>
      <c r="P237" s="38" t="s">
        <v>113</v>
      </c>
    </row>
    <row r="238" spans="8:18" x14ac:dyDescent="0.3">
      <c r="J238" s="20">
        <f t="array" ref="J238:J245">MMULT(T125:U132,H225:H226)</f>
        <v>-7.8104419189391691E-3</v>
      </c>
      <c r="L238" s="20">
        <f t="array" ref="L238:L245">MMULT(AL73:AS80,J238:J245)</f>
        <v>-2.3431325756817497E-2</v>
      </c>
      <c r="N238">
        <f>M208-$E$187*L238</f>
        <v>0.84204362407274114</v>
      </c>
      <c r="P238">
        <f>N238-'для 2 треугольников'!$N$238</f>
        <v>4.5462042133218583E-3</v>
      </c>
      <c r="Q238">
        <f>ABS(P238)</f>
        <v>4.5462042133218583E-3</v>
      </c>
      <c r="R238">
        <f>MAX(Q238:Q245)</f>
        <v>1.1717550253653264</v>
      </c>
    </row>
    <row r="239" spans="8:18" x14ac:dyDescent="0.3">
      <c r="J239" s="34">
        <v>4.7276702432432607E-2</v>
      </c>
      <c r="L239" s="34">
        <v>0.28366021459459562</v>
      </c>
      <c r="N239">
        <f t="shared" ref="N239:N245" si="58">M209-$E$187*L239</f>
        <v>-0.32348717302906244</v>
      </c>
      <c r="P239">
        <f>N239-'для 2 треугольников'!$N$238</f>
        <v>-1.1609845928884817</v>
      </c>
      <c r="Q239">
        <f t="shared" ref="Q239:Q245" si="59">ABS(P239)</f>
        <v>1.1609845928884817</v>
      </c>
    </row>
    <row r="240" spans="8:18" x14ac:dyDescent="0.3">
      <c r="J240" s="34">
        <v>7.8104419189391691E-3</v>
      </c>
      <c r="L240" s="34">
        <v>2.3431325756817504E-2</v>
      </c>
      <c r="N240">
        <f t="shared" si="58"/>
        <v>0.17530339316990332</v>
      </c>
      <c r="P240">
        <f>N240-'для 2 треугольников'!$N$238</f>
        <v>-0.66219402668951599</v>
      </c>
      <c r="Q240">
        <f t="shared" si="59"/>
        <v>0.66219402668951599</v>
      </c>
    </row>
    <row r="241" spans="2:17" x14ac:dyDescent="0.3">
      <c r="J241" s="34">
        <v>-7.8104419189391691E-3</v>
      </c>
      <c r="L241" s="34">
        <v>-4.6862651513635008E-2</v>
      </c>
      <c r="N241">
        <f t="shared" si="58"/>
        <v>-0.33425760550590711</v>
      </c>
      <c r="P241">
        <f>N241-'для 2 треугольников'!$N$238</f>
        <v>-1.1717550253653264</v>
      </c>
      <c r="Q241">
        <f t="shared" si="59"/>
        <v>1.1717550253653264</v>
      </c>
    </row>
    <row r="242" spans="2:17" x14ac:dyDescent="0.3">
      <c r="J242" s="34">
        <v>-4.7276702432432607E-2</v>
      </c>
      <c r="L242" s="34">
        <v>-0.14183010729729775</v>
      </c>
      <c r="N242">
        <f t="shared" si="58"/>
        <v>0.16096241710547521</v>
      </c>
      <c r="P242">
        <f>N242-'для 2 треугольников'!$N$238</f>
        <v>-0.67653500275394407</v>
      </c>
      <c r="Q242">
        <f t="shared" si="59"/>
        <v>0.67653500275394407</v>
      </c>
    </row>
    <row r="243" spans="2:17" x14ac:dyDescent="0.3">
      <c r="J243" s="34">
        <v>7.8104419189391691E-3</v>
      </c>
      <c r="L243" s="34">
        <v>4.6862651513635008E-2</v>
      </c>
      <c r="N243">
        <f t="shared" si="58"/>
        <v>0.33248262539693074</v>
      </c>
      <c r="P243">
        <f>N243-'для 2 треугольников'!$N$238</f>
        <v>-0.50501479446248854</v>
      </c>
      <c r="Q243">
        <f t="shared" si="59"/>
        <v>0.50501479446248854</v>
      </c>
    </row>
    <row r="244" spans="2:17" x14ac:dyDescent="0.3">
      <c r="J244" s="34">
        <v>4.7276702432432607E-2</v>
      </c>
      <c r="L244" s="34">
        <v>0.14183010729729781</v>
      </c>
      <c r="N244">
        <f t="shared" si="58"/>
        <v>0.80779692578762963</v>
      </c>
      <c r="P244">
        <f>N244-'для 2 треугольников'!$N$238</f>
        <v>-2.9700494071789652E-2</v>
      </c>
      <c r="Q244">
        <f t="shared" si="59"/>
        <v>2.9700494071789652E-2</v>
      </c>
    </row>
    <row r="245" spans="2:17" x14ac:dyDescent="0.3">
      <c r="J245" s="35">
        <v>-4.7276702432432607E-2</v>
      </c>
      <c r="L245" s="35">
        <v>-0.28366021459459562</v>
      </c>
      <c r="N245">
        <f t="shared" si="58"/>
        <v>0.32334733565309209</v>
      </c>
      <c r="P245">
        <f>N245-'для 2 треугольников'!$N$238</f>
        <v>-0.51415008420632713</v>
      </c>
      <c r="Q245">
        <f t="shared" si="59"/>
        <v>0.51415008420632713</v>
      </c>
    </row>
    <row r="248" spans="2:17" x14ac:dyDescent="0.3">
      <c r="B248" t="s">
        <v>94</v>
      </c>
    </row>
    <row r="272" spans="8:10" x14ac:dyDescent="0.3">
      <c r="H272" t="s">
        <v>95</v>
      </c>
      <c r="J272" t="s">
        <v>96</v>
      </c>
    </row>
    <row r="273" spans="7:10" x14ac:dyDescent="0.3">
      <c r="G273" t="s">
        <v>97</v>
      </c>
      <c r="H273" s="20">
        <f>E24*C187+F24*C189+G24*C191</f>
        <v>-0.66599793588753542</v>
      </c>
      <c r="J273" s="20">
        <f>E50*C187+F50*C191+G50*C193</f>
        <v>-0.65599793588753541</v>
      </c>
    </row>
    <row r="274" spans="7:10" x14ac:dyDescent="0.3">
      <c r="G274" t="s">
        <v>98</v>
      </c>
      <c r="H274" s="34">
        <f>E25*C187+F25*C189+G25*C191</f>
        <v>-1.0000000000000064E-2</v>
      </c>
      <c r="J274" s="34">
        <f>E51*C187+F51*C191+G51*C193</f>
        <v>-2.0000000000000129E-2</v>
      </c>
    </row>
    <row r="275" spans="7:10" x14ac:dyDescent="0.3">
      <c r="G275" t="s">
        <v>99</v>
      </c>
      <c r="H275" s="34">
        <f>E24*C188+F24*C190+G24*C192</f>
        <v>0</v>
      </c>
      <c r="J275" s="34">
        <f>E50*C188+F50*C192+G50*C194</f>
        <v>9.9999999999999534E-3</v>
      </c>
    </row>
    <row r="276" spans="7:10" x14ac:dyDescent="0.3">
      <c r="G276" t="s">
        <v>100</v>
      </c>
      <c r="H276" s="34">
        <f>E25*C188+F25*C190+G25*C192</f>
        <v>0.66599793588753531</v>
      </c>
      <c r="J276" s="34">
        <f>E51*C188+F51*C192+G51*C194</f>
        <v>0.65599793588753541</v>
      </c>
    </row>
    <row r="284" spans="7:10" x14ac:dyDescent="0.3">
      <c r="H284" t="s">
        <v>101</v>
      </c>
    </row>
    <row r="285" spans="7:10" x14ac:dyDescent="0.3">
      <c r="H285">
        <f>(2*H273^2+2*H276^2+(H274+H275)^2)^0.5</f>
        <v>1.3320334089000285</v>
      </c>
      <c r="J285">
        <f>(2*J273^2+2*J276^2+(J274+J275)^2)^0.5</f>
        <v>1.3120339810976041</v>
      </c>
    </row>
    <row r="287" spans="7:10" ht="20.399999999999999" x14ac:dyDescent="0.3">
      <c r="G287" s="37" t="s">
        <v>102</v>
      </c>
      <c r="H287">
        <f>(G11+G12+G13)/3</f>
        <v>0.33333333333333331</v>
      </c>
      <c r="J287">
        <f>(G37+G38+G39)/3</f>
        <v>0.66666666666666663</v>
      </c>
    </row>
    <row r="288" spans="7:10" ht="20.399999999999999" x14ac:dyDescent="0.3">
      <c r="G288" s="39" t="s">
        <v>103</v>
      </c>
      <c r="H288">
        <f>1</f>
        <v>1</v>
      </c>
      <c r="J288">
        <f>1</f>
        <v>1</v>
      </c>
    </row>
    <row r="289" spans="7:10" x14ac:dyDescent="0.3">
      <c r="G289" t="s">
        <v>104</v>
      </c>
      <c r="H289">
        <f>MIN(0.4*H287,0.09*H288)</f>
        <v>0.09</v>
      </c>
      <c r="J289">
        <f>MIN(0.4*J287,0.09*J288)</f>
        <v>0.09</v>
      </c>
    </row>
    <row r="290" spans="7:10" x14ac:dyDescent="0.3">
      <c r="G290" t="s">
        <v>105</v>
      </c>
      <c r="H290">
        <f>H289^2</f>
        <v>8.0999999999999996E-3</v>
      </c>
      <c r="J290">
        <f>J289^2</f>
        <v>8.0999999999999996E-3</v>
      </c>
    </row>
    <row r="291" spans="7:10" x14ac:dyDescent="0.3">
      <c r="G291" s="38" t="s">
        <v>106</v>
      </c>
      <c r="H291">
        <f>$S$2*H290*H285</f>
        <v>1.078947061209023E-2</v>
      </c>
      <c r="J291">
        <f>$S$2*J290*J285</f>
        <v>1.0627475246890592E-2</v>
      </c>
    </row>
    <row r="294" spans="7:10" x14ac:dyDescent="0.3">
      <c r="G294" t="s">
        <v>107</v>
      </c>
      <c r="H294">
        <f>$S$4+H291</f>
        <v>0.11078947061209024</v>
      </c>
      <c r="J294">
        <f>$S$4+J291</f>
        <v>0.11062747524689059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2:AS294"/>
  <sheetViews>
    <sheetView topLeftCell="B217" workbookViewId="0">
      <selection activeCell="R238" sqref="R238"/>
    </sheetView>
  </sheetViews>
  <sheetFormatPr defaultRowHeight="14.4" x14ac:dyDescent="0.3"/>
  <cols>
    <col min="8" max="8" width="12.6640625" bestFit="1" customWidth="1"/>
    <col min="9" max="9" width="11.109375" customWidth="1"/>
    <col min="10" max="10" width="12.6640625" bestFit="1" customWidth="1"/>
    <col min="12" max="12" width="12.6640625" bestFit="1" customWidth="1"/>
  </cols>
  <sheetData>
    <row r="2" spans="2:22" x14ac:dyDescent="0.3">
      <c r="R2" t="s">
        <v>0</v>
      </c>
      <c r="S2">
        <v>1</v>
      </c>
    </row>
    <row r="3" spans="2:22" x14ac:dyDescent="0.3">
      <c r="R3" t="s">
        <v>1</v>
      </c>
      <c r="S3">
        <v>0.03</v>
      </c>
    </row>
    <row r="4" spans="2:22" x14ac:dyDescent="0.3">
      <c r="D4" t="s">
        <v>4</v>
      </c>
      <c r="E4" t="s">
        <v>5</v>
      </c>
      <c r="R4" t="s">
        <v>2</v>
      </c>
      <c r="S4">
        <v>0.1</v>
      </c>
      <c r="U4" t="s">
        <v>3</v>
      </c>
    </row>
    <row r="5" spans="2:22" x14ac:dyDescent="0.3">
      <c r="C5">
        <v>1</v>
      </c>
      <c r="D5" s="12">
        <v>0</v>
      </c>
      <c r="E5" s="14">
        <v>0</v>
      </c>
    </row>
    <row r="6" spans="2:22" x14ac:dyDescent="0.3">
      <c r="C6">
        <v>2</v>
      </c>
      <c r="D6" s="15">
        <v>1</v>
      </c>
      <c r="E6" s="16">
        <v>0</v>
      </c>
    </row>
    <row r="7" spans="2:22" x14ac:dyDescent="0.3">
      <c r="C7">
        <v>3</v>
      </c>
      <c r="D7" s="15">
        <v>1</v>
      </c>
      <c r="E7" s="16">
        <v>1</v>
      </c>
    </row>
    <row r="8" spans="2:22" x14ac:dyDescent="0.3">
      <c r="C8">
        <v>4</v>
      </c>
      <c r="D8" s="17">
        <v>0</v>
      </c>
      <c r="E8" s="19">
        <v>1</v>
      </c>
    </row>
    <row r="10" spans="2:22" x14ac:dyDescent="0.3">
      <c r="B10" t="s">
        <v>32</v>
      </c>
      <c r="F10" t="s">
        <v>4</v>
      </c>
      <c r="G10" t="s">
        <v>5</v>
      </c>
    </row>
    <row r="11" spans="2:22" x14ac:dyDescent="0.3">
      <c r="E11">
        <v>1</v>
      </c>
      <c r="F11" s="12">
        <f t="shared" ref="F11:G13" si="0">D5</f>
        <v>0</v>
      </c>
      <c r="G11" s="14">
        <f t="shared" si="0"/>
        <v>0</v>
      </c>
    </row>
    <row r="12" spans="2:22" x14ac:dyDescent="0.3">
      <c r="B12" t="s">
        <v>6</v>
      </c>
      <c r="E12">
        <v>2</v>
      </c>
      <c r="F12" s="15">
        <f t="shared" si="0"/>
        <v>1</v>
      </c>
      <c r="G12" s="16">
        <f t="shared" si="0"/>
        <v>0</v>
      </c>
    </row>
    <row r="13" spans="2:22" x14ac:dyDescent="0.3">
      <c r="B13" s="4"/>
      <c r="C13" s="4"/>
      <c r="D13" s="4"/>
      <c r="E13">
        <v>3</v>
      </c>
      <c r="F13" s="17">
        <f t="shared" si="0"/>
        <v>1</v>
      </c>
      <c r="G13" s="19">
        <f t="shared" si="0"/>
        <v>1</v>
      </c>
      <c r="K13" s="4"/>
      <c r="L13" s="4"/>
      <c r="M13" s="4"/>
      <c r="N13" s="4"/>
    </row>
    <row r="14" spans="2:22" ht="15" thickBot="1" x14ac:dyDescent="0.35">
      <c r="B14" t="s">
        <v>7</v>
      </c>
      <c r="C14" t="s">
        <v>8</v>
      </c>
      <c r="E14" t="s">
        <v>9</v>
      </c>
      <c r="J14" t="s">
        <v>10</v>
      </c>
      <c r="K14" s="4"/>
      <c r="N14" t="s">
        <v>11</v>
      </c>
      <c r="P14" t="s">
        <v>12</v>
      </c>
      <c r="R14" s="22" t="s">
        <v>29</v>
      </c>
      <c r="U14" t="s">
        <v>30</v>
      </c>
    </row>
    <row r="15" spans="2:22" x14ac:dyDescent="0.3">
      <c r="B15" s="5" t="s">
        <v>13</v>
      </c>
      <c r="C15" s="4">
        <f>1/3</f>
        <v>0.33333333333333331</v>
      </c>
      <c r="D15" s="4"/>
      <c r="E15" s="6">
        <v>-1</v>
      </c>
      <c r="F15" s="7">
        <v>1</v>
      </c>
      <c r="G15" s="1">
        <v>0</v>
      </c>
      <c r="H15" s="8"/>
      <c r="J15" s="6">
        <f t="array" ref="J15:K16">MMULT(E15:G16,F11:G13)</f>
        <v>1</v>
      </c>
      <c r="K15" s="1">
        <v>0</v>
      </c>
      <c r="L15" s="8"/>
      <c r="N15">
        <f>MDETERM(J15:K16)</f>
        <v>1</v>
      </c>
      <c r="P15">
        <f>N15*0.5</f>
        <v>0.5</v>
      </c>
      <c r="Q15" t="s">
        <v>31</v>
      </c>
      <c r="U15" s="11">
        <f t="array" ref="U15:V16">MINVERSE(J15:K16)</f>
        <v>1</v>
      </c>
      <c r="V15" s="11">
        <v>0</v>
      </c>
    </row>
    <row r="16" spans="2:22" ht="15" thickBot="1" x14ac:dyDescent="0.35">
      <c r="B16" s="5" t="s">
        <v>14</v>
      </c>
      <c r="C16" s="4">
        <f>1/3</f>
        <v>0.33333333333333331</v>
      </c>
      <c r="D16" s="4"/>
      <c r="E16" s="9">
        <v>-1</v>
      </c>
      <c r="F16" s="10">
        <v>0</v>
      </c>
      <c r="G16" s="3">
        <v>1</v>
      </c>
      <c r="H16" s="8"/>
      <c r="J16" s="9">
        <v>1</v>
      </c>
      <c r="K16" s="3">
        <v>1</v>
      </c>
      <c r="L16" s="8"/>
      <c r="U16" s="11">
        <v>-1</v>
      </c>
      <c r="V16" s="11">
        <v>1</v>
      </c>
    </row>
    <row r="17" spans="2:28" x14ac:dyDescent="0.3">
      <c r="B17" s="5"/>
      <c r="C17" s="4"/>
      <c r="D17" s="4"/>
      <c r="E17" s="8"/>
      <c r="F17" s="8"/>
      <c r="G17" s="8"/>
      <c r="H17" s="8"/>
      <c r="J17" s="8"/>
      <c r="K17" s="8"/>
      <c r="L17" s="8"/>
    </row>
    <row r="19" spans="2:28" x14ac:dyDescent="0.3">
      <c r="E19" s="4" t="s">
        <v>15</v>
      </c>
      <c r="F19" s="4" t="s">
        <v>16</v>
      </c>
      <c r="G19" s="4" t="s">
        <v>17</v>
      </c>
      <c r="H19" s="4"/>
      <c r="I19" s="4" t="s">
        <v>18</v>
      </c>
      <c r="J19" s="4"/>
      <c r="K19" s="4" t="s">
        <v>19</v>
      </c>
      <c r="L19" s="4"/>
      <c r="O19" t="s">
        <v>20</v>
      </c>
    </row>
    <row r="20" spans="2:28" x14ac:dyDescent="0.3">
      <c r="E20" s="4">
        <f>1-C15-C16</f>
        <v>0.33333333333333343</v>
      </c>
      <c r="F20" s="4">
        <f>C15</f>
        <v>0.33333333333333331</v>
      </c>
      <c r="G20" s="4">
        <f>C16</f>
        <v>0.33333333333333331</v>
      </c>
      <c r="H20" s="4"/>
      <c r="I20">
        <f t="array" ref="I20:I22">TRANSPOSE(E20:G20)</f>
        <v>0.33333333333333343</v>
      </c>
      <c r="K20">
        <f t="array" ref="K20:M22">MMULT(I20:I22,E20:G20)</f>
        <v>0.11111111111111117</v>
      </c>
      <c r="L20">
        <v>0.11111111111111113</v>
      </c>
      <c r="M20">
        <v>0.11111111111111113</v>
      </c>
      <c r="O20">
        <f>K20*$P$15</f>
        <v>5.5555555555555587E-2</v>
      </c>
      <c r="P20">
        <f t="shared" ref="P20:Q22" si="1">L20*$P$15</f>
        <v>5.5555555555555566E-2</v>
      </c>
      <c r="Q20">
        <f t="shared" si="1"/>
        <v>5.5555555555555566E-2</v>
      </c>
    </row>
    <row r="21" spans="2:28" x14ac:dyDescent="0.3">
      <c r="E21" t="s">
        <v>21</v>
      </c>
      <c r="I21">
        <v>0.33333333333333331</v>
      </c>
      <c r="K21">
        <v>0.11111111111111113</v>
      </c>
      <c r="L21">
        <v>0.1111111111111111</v>
      </c>
      <c r="M21">
        <v>0.1111111111111111</v>
      </c>
      <c r="O21">
        <f t="shared" ref="O21:O22" si="2">K21*$P$15</f>
        <v>5.5555555555555566E-2</v>
      </c>
      <c r="P21">
        <f t="shared" si="1"/>
        <v>5.5555555555555552E-2</v>
      </c>
      <c r="Q21">
        <f t="shared" si="1"/>
        <v>5.5555555555555552E-2</v>
      </c>
    </row>
    <row r="22" spans="2:28" x14ac:dyDescent="0.3">
      <c r="E22" s="4">
        <f>SUM(E20:G20)</f>
        <v>1</v>
      </c>
      <c r="I22">
        <v>0.33333333333333331</v>
      </c>
      <c r="K22">
        <v>0.11111111111111113</v>
      </c>
      <c r="L22">
        <v>0.1111111111111111</v>
      </c>
      <c r="M22">
        <v>0.1111111111111111</v>
      </c>
      <c r="O22">
        <f t="shared" si="2"/>
        <v>5.5555555555555566E-2</v>
      </c>
      <c r="P22">
        <f t="shared" si="1"/>
        <v>5.5555555555555552E-2</v>
      </c>
      <c r="Q22">
        <f t="shared" si="1"/>
        <v>5.5555555555555552E-2</v>
      </c>
    </row>
    <row r="23" spans="2:28" x14ac:dyDescent="0.3">
      <c r="V23" t="s">
        <v>26</v>
      </c>
    </row>
    <row r="24" spans="2:28" x14ac:dyDescent="0.3">
      <c r="E24" s="11">
        <f t="array" ref="E24:E25">MMULT($U$15:$V$16,E15:E16)</f>
        <v>-1</v>
      </c>
      <c r="F24" s="11">
        <f t="array" ref="F24:F25">MMULT($U$15:$V$16,F15:F16)</f>
        <v>1</v>
      </c>
      <c r="G24" s="11">
        <f t="array" ref="G24:G25">MMULT($U$15:$V$16,G15:G16)</f>
        <v>0</v>
      </c>
      <c r="O24" s="12">
        <f t="array" ref="O24:P26">TRANSPOSE(E24:G25)</f>
        <v>-1</v>
      </c>
      <c r="P24" s="14">
        <v>0</v>
      </c>
      <c r="R24" s="12">
        <f t="array" ref="R24:T26">MMULT(O24:P26,E24:G25)</f>
        <v>1</v>
      </c>
      <c r="S24" s="13">
        <v>-1</v>
      </c>
      <c r="T24" s="14">
        <v>0</v>
      </c>
      <c r="V24" s="12">
        <f>R24*$P$15</f>
        <v>0.5</v>
      </c>
      <c r="W24" s="13">
        <f t="shared" ref="W24:X26" si="3">S24*$P$15</f>
        <v>-0.5</v>
      </c>
      <c r="X24" s="14">
        <f t="shared" si="3"/>
        <v>0</v>
      </c>
    </row>
    <row r="25" spans="2:28" x14ac:dyDescent="0.3">
      <c r="D25" s="4"/>
      <c r="E25" s="11">
        <v>0</v>
      </c>
      <c r="F25" s="11">
        <v>-1</v>
      </c>
      <c r="G25" s="11">
        <v>1</v>
      </c>
      <c r="O25" s="15">
        <v>1</v>
      </c>
      <c r="P25" s="16">
        <v>-1</v>
      </c>
      <c r="R25" s="15">
        <v>-1</v>
      </c>
      <c r="S25" s="8">
        <v>2</v>
      </c>
      <c r="T25" s="16">
        <v>-1</v>
      </c>
      <c r="V25" s="15">
        <f t="shared" ref="V25:V26" si="4">R25*$P$15</f>
        <v>-0.5</v>
      </c>
      <c r="W25" s="8">
        <f t="shared" si="3"/>
        <v>1</v>
      </c>
      <c r="X25" s="16">
        <f t="shared" si="3"/>
        <v>-0.5</v>
      </c>
    </row>
    <row r="26" spans="2:28" x14ac:dyDescent="0.3">
      <c r="D26" s="4"/>
      <c r="O26" s="17">
        <v>0</v>
      </c>
      <c r="P26" s="19">
        <v>1</v>
      </c>
      <c r="R26" s="17">
        <v>0</v>
      </c>
      <c r="S26" s="18">
        <v>-1</v>
      </c>
      <c r="T26" s="19">
        <v>1</v>
      </c>
      <c r="V26" s="17">
        <f t="shared" si="4"/>
        <v>0</v>
      </c>
      <c r="W26" s="18">
        <f t="shared" si="3"/>
        <v>-0.5</v>
      </c>
      <c r="X26" s="19">
        <f t="shared" si="3"/>
        <v>0.5</v>
      </c>
    </row>
    <row r="27" spans="2:28" x14ac:dyDescent="0.3">
      <c r="D27" s="4"/>
      <c r="E27" t="s">
        <v>22</v>
      </c>
      <c r="L27" t="s">
        <v>23</v>
      </c>
      <c r="P27" t="s">
        <v>24</v>
      </c>
      <c r="W27" t="s">
        <v>25</v>
      </c>
    </row>
    <row r="28" spans="2:28" x14ac:dyDescent="0.3">
      <c r="E28" s="12">
        <f>E24</f>
        <v>-1</v>
      </c>
      <c r="F28" s="13">
        <v>0</v>
      </c>
      <c r="G28" s="13">
        <f>F24</f>
        <v>1</v>
      </c>
      <c r="H28" s="13">
        <v>0</v>
      </c>
      <c r="I28" s="13">
        <f>G24</f>
        <v>0</v>
      </c>
      <c r="J28" s="14">
        <v>0</v>
      </c>
      <c r="L28" s="12">
        <f t="array" ref="L28:N33">TRANSPOSE(E28:J30)</f>
        <v>-1</v>
      </c>
      <c r="M28" s="13">
        <v>0</v>
      </c>
      <c r="N28" s="14">
        <v>0</v>
      </c>
      <c r="P28" s="12">
        <f t="array" ref="P28:U33">MMULT(L28:N33,E28:J30)</f>
        <v>1</v>
      </c>
      <c r="Q28" s="13">
        <v>0</v>
      </c>
      <c r="R28" s="13">
        <v>-1</v>
      </c>
      <c r="S28" s="13">
        <v>0</v>
      </c>
      <c r="T28" s="13">
        <v>0</v>
      </c>
      <c r="U28" s="14">
        <v>0</v>
      </c>
      <c r="W28" s="12">
        <f>P28*$P$15</f>
        <v>0.5</v>
      </c>
      <c r="X28" s="13">
        <f t="shared" ref="X28:AB33" si="5">Q28*$P$15</f>
        <v>0</v>
      </c>
      <c r="Y28" s="13">
        <f t="shared" si="5"/>
        <v>-0.5</v>
      </c>
      <c r="Z28" s="13">
        <f t="shared" si="5"/>
        <v>0</v>
      </c>
      <c r="AA28" s="13">
        <f t="shared" si="5"/>
        <v>0</v>
      </c>
      <c r="AB28" s="14">
        <f t="shared" si="5"/>
        <v>0</v>
      </c>
    </row>
    <row r="29" spans="2:28" x14ac:dyDescent="0.3">
      <c r="E29" s="15">
        <v>0</v>
      </c>
      <c r="F29" s="8">
        <f>E25</f>
        <v>0</v>
      </c>
      <c r="G29" s="8">
        <v>0</v>
      </c>
      <c r="H29" s="8">
        <f>F25</f>
        <v>-1</v>
      </c>
      <c r="I29" s="8">
        <v>0</v>
      </c>
      <c r="J29" s="16">
        <f>G25</f>
        <v>1</v>
      </c>
      <c r="L29" s="15">
        <v>0</v>
      </c>
      <c r="M29" s="8">
        <v>0</v>
      </c>
      <c r="N29" s="16">
        <v>-1</v>
      </c>
      <c r="P29" s="15">
        <v>0</v>
      </c>
      <c r="Q29" s="8">
        <v>1</v>
      </c>
      <c r="R29" s="8">
        <v>1</v>
      </c>
      <c r="S29" s="8">
        <v>-1</v>
      </c>
      <c r="T29" s="8">
        <v>-1</v>
      </c>
      <c r="U29" s="16">
        <v>0</v>
      </c>
      <c r="W29" s="15">
        <f t="shared" ref="W29:W33" si="6">P29*$P$15</f>
        <v>0</v>
      </c>
      <c r="X29" s="8">
        <f t="shared" si="5"/>
        <v>0.5</v>
      </c>
      <c r="Y29" s="8">
        <f t="shared" si="5"/>
        <v>0.5</v>
      </c>
      <c r="Z29" s="8">
        <f t="shared" si="5"/>
        <v>-0.5</v>
      </c>
      <c r="AA29" s="8">
        <f t="shared" si="5"/>
        <v>-0.5</v>
      </c>
      <c r="AB29" s="16">
        <f t="shared" si="5"/>
        <v>0</v>
      </c>
    </row>
    <row r="30" spans="2:28" x14ac:dyDescent="0.3">
      <c r="E30" s="17">
        <f>E25</f>
        <v>0</v>
      </c>
      <c r="F30" s="18">
        <f>E24</f>
        <v>-1</v>
      </c>
      <c r="G30" s="18">
        <f>F25</f>
        <v>-1</v>
      </c>
      <c r="H30" s="18">
        <f>F24</f>
        <v>1</v>
      </c>
      <c r="I30" s="18">
        <f>G25</f>
        <v>1</v>
      </c>
      <c r="J30" s="19">
        <f>G24</f>
        <v>0</v>
      </c>
      <c r="L30" s="15">
        <v>1</v>
      </c>
      <c r="M30" s="8">
        <v>0</v>
      </c>
      <c r="N30" s="16">
        <v>-1</v>
      </c>
      <c r="P30" s="15">
        <v>-1</v>
      </c>
      <c r="Q30" s="8">
        <v>1</v>
      </c>
      <c r="R30" s="8">
        <v>2</v>
      </c>
      <c r="S30" s="8">
        <v>-1</v>
      </c>
      <c r="T30" s="8">
        <v>-1</v>
      </c>
      <c r="U30" s="16">
        <v>0</v>
      </c>
      <c r="W30" s="15">
        <f t="shared" si="6"/>
        <v>-0.5</v>
      </c>
      <c r="X30" s="8">
        <f t="shared" si="5"/>
        <v>0.5</v>
      </c>
      <c r="Y30" s="8">
        <f t="shared" si="5"/>
        <v>1</v>
      </c>
      <c r="Z30" s="8">
        <f t="shared" si="5"/>
        <v>-0.5</v>
      </c>
      <c r="AA30" s="8">
        <f t="shared" si="5"/>
        <v>-0.5</v>
      </c>
      <c r="AB30" s="16">
        <f t="shared" si="5"/>
        <v>0</v>
      </c>
    </row>
    <row r="31" spans="2:28" x14ac:dyDescent="0.3">
      <c r="L31" s="15">
        <v>0</v>
      </c>
      <c r="M31" s="8">
        <v>-1</v>
      </c>
      <c r="N31" s="16">
        <v>1</v>
      </c>
      <c r="P31" s="15">
        <v>0</v>
      </c>
      <c r="Q31" s="8">
        <v>-1</v>
      </c>
      <c r="R31" s="8">
        <v>-1</v>
      </c>
      <c r="S31" s="8">
        <v>2</v>
      </c>
      <c r="T31" s="8">
        <v>1</v>
      </c>
      <c r="U31" s="16">
        <v>-1</v>
      </c>
      <c r="W31" s="15">
        <f t="shared" si="6"/>
        <v>0</v>
      </c>
      <c r="X31" s="8">
        <f t="shared" si="5"/>
        <v>-0.5</v>
      </c>
      <c r="Y31" s="8">
        <f t="shared" si="5"/>
        <v>-0.5</v>
      </c>
      <c r="Z31" s="8">
        <f t="shared" si="5"/>
        <v>1</v>
      </c>
      <c r="AA31" s="8">
        <f t="shared" si="5"/>
        <v>0.5</v>
      </c>
      <c r="AB31" s="16">
        <f t="shared" si="5"/>
        <v>-0.5</v>
      </c>
    </row>
    <row r="32" spans="2:28" x14ac:dyDescent="0.3">
      <c r="L32" s="15">
        <v>0</v>
      </c>
      <c r="M32" s="8">
        <v>0</v>
      </c>
      <c r="N32" s="16">
        <v>1</v>
      </c>
      <c r="P32" s="15">
        <v>0</v>
      </c>
      <c r="Q32" s="8">
        <v>-1</v>
      </c>
      <c r="R32" s="8">
        <v>-1</v>
      </c>
      <c r="S32" s="8">
        <v>1</v>
      </c>
      <c r="T32" s="8">
        <v>1</v>
      </c>
      <c r="U32" s="16">
        <v>0</v>
      </c>
      <c r="W32" s="15">
        <f t="shared" si="6"/>
        <v>0</v>
      </c>
      <c r="X32" s="8">
        <f t="shared" si="5"/>
        <v>-0.5</v>
      </c>
      <c r="Y32" s="8">
        <f t="shared" si="5"/>
        <v>-0.5</v>
      </c>
      <c r="Z32" s="8">
        <f t="shared" si="5"/>
        <v>0.5</v>
      </c>
      <c r="AA32" s="8">
        <f t="shared" si="5"/>
        <v>0.5</v>
      </c>
      <c r="AB32" s="16">
        <f t="shared" si="5"/>
        <v>0</v>
      </c>
    </row>
    <row r="33" spans="2:28" x14ac:dyDescent="0.3">
      <c r="L33" s="17">
        <v>0</v>
      </c>
      <c r="M33" s="18">
        <v>1</v>
      </c>
      <c r="N33" s="19">
        <v>0</v>
      </c>
      <c r="P33" s="17">
        <v>0</v>
      </c>
      <c r="Q33" s="18">
        <v>0</v>
      </c>
      <c r="R33" s="18">
        <v>0</v>
      </c>
      <c r="S33" s="18">
        <v>-1</v>
      </c>
      <c r="T33" s="18">
        <v>0</v>
      </c>
      <c r="U33" s="19">
        <v>1</v>
      </c>
      <c r="W33" s="17">
        <f t="shared" si="6"/>
        <v>0</v>
      </c>
      <c r="X33" s="18">
        <f t="shared" si="5"/>
        <v>0</v>
      </c>
      <c r="Y33" s="18">
        <f t="shared" si="5"/>
        <v>0</v>
      </c>
      <c r="Z33" s="18">
        <f t="shared" si="5"/>
        <v>-0.5</v>
      </c>
      <c r="AA33" s="18">
        <f t="shared" si="5"/>
        <v>0</v>
      </c>
      <c r="AB33" s="19">
        <f t="shared" si="5"/>
        <v>0.5</v>
      </c>
    </row>
    <row r="36" spans="2:28" x14ac:dyDescent="0.3">
      <c r="B36" t="s">
        <v>33</v>
      </c>
      <c r="F36" t="s">
        <v>4</v>
      </c>
      <c r="G36" t="s">
        <v>5</v>
      </c>
    </row>
    <row r="37" spans="2:28" x14ac:dyDescent="0.3">
      <c r="E37">
        <v>1</v>
      </c>
      <c r="F37" s="12">
        <f>D5</f>
        <v>0</v>
      </c>
      <c r="G37" s="12">
        <f>E5</f>
        <v>0</v>
      </c>
    </row>
    <row r="38" spans="2:28" x14ac:dyDescent="0.3">
      <c r="B38" t="s">
        <v>6</v>
      </c>
      <c r="E38">
        <v>3</v>
      </c>
      <c r="F38" s="15">
        <f>D7</f>
        <v>1</v>
      </c>
      <c r="G38" s="15">
        <f>E7</f>
        <v>1</v>
      </c>
    </row>
    <row r="39" spans="2:28" x14ac:dyDescent="0.3">
      <c r="B39" s="4"/>
      <c r="C39" s="4"/>
      <c r="D39" s="4"/>
      <c r="E39">
        <v>4</v>
      </c>
      <c r="F39" s="17">
        <f>D8</f>
        <v>0</v>
      </c>
      <c r="G39" s="17">
        <f>E8</f>
        <v>1</v>
      </c>
      <c r="K39" s="4"/>
      <c r="L39" s="4"/>
      <c r="M39" s="4"/>
      <c r="N39" s="4"/>
    </row>
    <row r="40" spans="2:28" ht="15" thickBot="1" x14ac:dyDescent="0.35">
      <c r="B40" t="s">
        <v>7</v>
      </c>
      <c r="C40" t="s">
        <v>8</v>
      </c>
      <c r="E40" t="s">
        <v>9</v>
      </c>
      <c r="J40" t="s">
        <v>10</v>
      </c>
      <c r="K40" s="4"/>
      <c r="N40" t="s">
        <v>11</v>
      </c>
      <c r="P40" t="s">
        <v>12</v>
      </c>
      <c r="R40" s="22" t="s">
        <v>29</v>
      </c>
      <c r="U40" t="s">
        <v>30</v>
      </c>
    </row>
    <row r="41" spans="2:28" x14ac:dyDescent="0.3">
      <c r="B41" s="5" t="s">
        <v>13</v>
      </c>
      <c r="C41" s="4">
        <f>1/3</f>
        <v>0.33333333333333331</v>
      </c>
      <c r="D41" s="4"/>
      <c r="E41" s="6">
        <v>-1</v>
      </c>
      <c r="F41" s="7">
        <v>1</v>
      </c>
      <c r="G41" s="1">
        <v>0</v>
      </c>
      <c r="H41" s="8"/>
      <c r="J41" s="6">
        <f t="array" ref="J41:K42">MMULT(E41:G42,F37:G39)</f>
        <v>1</v>
      </c>
      <c r="K41" s="1">
        <v>1</v>
      </c>
      <c r="L41" s="8"/>
      <c r="N41">
        <f>MDETERM(J41:K42)</f>
        <v>1</v>
      </c>
      <c r="P41">
        <f>N41*0.5</f>
        <v>0.5</v>
      </c>
      <c r="Q41" t="s">
        <v>31</v>
      </c>
      <c r="U41" s="11">
        <f t="array" ref="U41:V42">MINVERSE(J41:K42)</f>
        <v>1</v>
      </c>
      <c r="V41" s="11">
        <v>-1</v>
      </c>
    </row>
    <row r="42" spans="2:28" ht="15" thickBot="1" x14ac:dyDescent="0.35">
      <c r="B42" s="5" t="s">
        <v>14</v>
      </c>
      <c r="C42" s="4">
        <f>1/3</f>
        <v>0.33333333333333331</v>
      </c>
      <c r="D42" s="4"/>
      <c r="E42" s="9">
        <v>-1</v>
      </c>
      <c r="F42" s="10">
        <v>0</v>
      </c>
      <c r="G42" s="3">
        <v>1</v>
      </c>
      <c r="H42" s="8"/>
      <c r="J42" s="9">
        <v>0</v>
      </c>
      <c r="K42" s="3">
        <v>1</v>
      </c>
      <c r="L42" s="8"/>
      <c r="U42" s="11">
        <v>0</v>
      </c>
      <c r="V42" s="11">
        <v>1</v>
      </c>
    </row>
    <row r="43" spans="2:28" x14ac:dyDescent="0.3">
      <c r="B43" s="5"/>
      <c r="C43" s="4"/>
      <c r="D43" s="4"/>
      <c r="E43" s="8"/>
      <c r="F43" s="8"/>
      <c r="G43" s="8"/>
      <c r="H43" s="8"/>
      <c r="J43" s="8"/>
      <c r="K43" s="8"/>
      <c r="L43" s="8"/>
    </row>
    <row r="45" spans="2:28" x14ac:dyDescent="0.3">
      <c r="E45" s="4" t="s">
        <v>15</v>
      </c>
      <c r="F45" s="4" t="s">
        <v>16</v>
      </c>
      <c r="G45" s="4" t="s">
        <v>17</v>
      </c>
      <c r="H45" s="4"/>
      <c r="I45" s="4" t="s">
        <v>18</v>
      </c>
      <c r="J45" s="4"/>
      <c r="K45" s="4" t="s">
        <v>19</v>
      </c>
      <c r="L45" s="4"/>
      <c r="O45" t="s">
        <v>20</v>
      </c>
    </row>
    <row r="46" spans="2:28" x14ac:dyDescent="0.3">
      <c r="E46" s="4">
        <f>1-C41-C42</f>
        <v>0.33333333333333343</v>
      </c>
      <c r="F46" s="4">
        <f>C41</f>
        <v>0.33333333333333331</v>
      </c>
      <c r="G46" s="4">
        <f>C42</f>
        <v>0.33333333333333331</v>
      </c>
      <c r="H46" s="4"/>
      <c r="I46">
        <f t="array" ref="I46:I48">TRANSPOSE(E46:G46)</f>
        <v>0.33333333333333343</v>
      </c>
      <c r="K46">
        <f t="array" ref="K46:M48">MMULT(I46:I48,E46:G46)</f>
        <v>0.11111111111111117</v>
      </c>
      <c r="L46">
        <v>0.11111111111111113</v>
      </c>
      <c r="M46">
        <v>0.11111111111111113</v>
      </c>
      <c r="O46">
        <f>K46*$P$15</f>
        <v>5.5555555555555587E-2</v>
      </c>
      <c r="P46">
        <f t="shared" ref="P46:Q48" si="7">L46*$P$15</f>
        <v>5.5555555555555566E-2</v>
      </c>
      <c r="Q46">
        <f t="shared" si="7"/>
        <v>5.5555555555555566E-2</v>
      </c>
    </row>
    <row r="47" spans="2:28" x14ac:dyDescent="0.3">
      <c r="E47" t="s">
        <v>21</v>
      </c>
      <c r="I47">
        <v>0.33333333333333331</v>
      </c>
      <c r="K47">
        <v>0.11111111111111113</v>
      </c>
      <c r="L47">
        <v>0.1111111111111111</v>
      </c>
      <c r="M47">
        <v>0.1111111111111111</v>
      </c>
      <c r="O47">
        <f t="shared" ref="O47:O48" si="8">K47*$P$15</f>
        <v>5.5555555555555566E-2</v>
      </c>
      <c r="P47">
        <f t="shared" si="7"/>
        <v>5.5555555555555552E-2</v>
      </c>
      <c r="Q47">
        <f t="shared" si="7"/>
        <v>5.5555555555555552E-2</v>
      </c>
    </row>
    <row r="48" spans="2:28" x14ac:dyDescent="0.3">
      <c r="E48" s="4">
        <f>SUM(E46:G46)</f>
        <v>1</v>
      </c>
      <c r="I48">
        <v>0.33333333333333331</v>
      </c>
      <c r="K48">
        <v>0.11111111111111113</v>
      </c>
      <c r="L48">
        <v>0.1111111111111111</v>
      </c>
      <c r="M48">
        <v>0.1111111111111111</v>
      </c>
      <c r="O48">
        <f t="shared" si="8"/>
        <v>5.5555555555555566E-2</v>
      </c>
      <c r="P48">
        <f t="shared" si="7"/>
        <v>5.5555555555555552E-2</v>
      </c>
      <c r="Q48">
        <f t="shared" si="7"/>
        <v>5.5555555555555552E-2</v>
      </c>
    </row>
    <row r="49" spans="4:45" x14ac:dyDescent="0.3">
      <c r="V49" t="s">
        <v>27</v>
      </c>
    </row>
    <row r="50" spans="4:45" x14ac:dyDescent="0.3">
      <c r="E50" s="11">
        <f t="array" ref="E50:E51">MMULT($U$41:$V$42,E41:E42)</f>
        <v>0</v>
      </c>
      <c r="F50" s="11">
        <f t="array" ref="F50:F51">MMULT($U$41:$V$42,F41:F42)</f>
        <v>1</v>
      </c>
      <c r="G50" s="11">
        <f t="array" ref="G50:G51">MMULT($U$41:$V$42,G41:G42)</f>
        <v>-1</v>
      </c>
      <c r="O50" s="12">
        <f t="array" ref="O50:P52">TRANSPOSE(E50:G51)</f>
        <v>0</v>
      </c>
      <c r="P50" s="14">
        <v>-1</v>
      </c>
      <c r="R50" s="12">
        <f t="array" ref="R50:T52">MMULT(O50:P52,E50:G51)</f>
        <v>1</v>
      </c>
      <c r="S50" s="13">
        <v>0</v>
      </c>
      <c r="T50" s="14">
        <v>-1</v>
      </c>
      <c r="V50" s="12">
        <f>R50*$P$41</f>
        <v>0.5</v>
      </c>
      <c r="W50" s="13">
        <f t="shared" ref="W50:X52" si="9">S50*$P$41</f>
        <v>0</v>
      </c>
      <c r="X50" s="14">
        <f t="shared" si="9"/>
        <v>-0.5</v>
      </c>
    </row>
    <row r="51" spans="4:45" x14ac:dyDescent="0.3">
      <c r="D51" s="4"/>
      <c r="E51" s="11">
        <v>-1</v>
      </c>
      <c r="F51" s="11">
        <v>0</v>
      </c>
      <c r="G51" s="11">
        <v>1</v>
      </c>
      <c r="O51" s="15">
        <v>1</v>
      </c>
      <c r="P51" s="16">
        <v>0</v>
      </c>
      <c r="R51" s="15">
        <v>0</v>
      </c>
      <c r="S51" s="8">
        <v>1</v>
      </c>
      <c r="T51" s="16">
        <v>-1</v>
      </c>
      <c r="V51" s="12">
        <f>R51*$P$41</f>
        <v>0</v>
      </c>
      <c r="W51" s="8">
        <f t="shared" si="9"/>
        <v>0.5</v>
      </c>
      <c r="X51" s="16">
        <f t="shared" si="9"/>
        <v>-0.5</v>
      </c>
    </row>
    <row r="52" spans="4:45" x14ac:dyDescent="0.3">
      <c r="D52" s="4"/>
      <c r="O52" s="17">
        <v>-1</v>
      </c>
      <c r="P52" s="19">
        <v>1</v>
      </c>
      <c r="R52" s="17">
        <v>-1</v>
      </c>
      <c r="S52" s="18">
        <v>-1</v>
      </c>
      <c r="T52" s="19">
        <v>2</v>
      </c>
      <c r="V52" s="17">
        <f t="shared" ref="V52" si="10">R52*$P$41</f>
        <v>-0.5</v>
      </c>
      <c r="W52" s="18">
        <f t="shared" si="9"/>
        <v>-0.5</v>
      </c>
      <c r="X52" s="19">
        <f t="shared" si="9"/>
        <v>1</v>
      </c>
    </row>
    <row r="53" spans="4:45" x14ac:dyDescent="0.3">
      <c r="D53" s="4"/>
      <c r="E53" t="s">
        <v>22</v>
      </c>
      <c r="L53" t="s">
        <v>23</v>
      </c>
      <c r="P53" t="s">
        <v>24</v>
      </c>
      <c r="W53" t="s">
        <v>25</v>
      </c>
    </row>
    <row r="54" spans="4:45" x14ac:dyDescent="0.3">
      <c r="E54" s="12">
        <f>E50</f>
        <v>0</v>
      </c>
      <c r="F54" s="13">
        <v>0</v>
      </c>
      <c r="G54" s="13">
        <f>F50</f>
        <v>1</v>
      </c>
      <c r="H54" s="13">
        <v>0</v>
      </c>
      <c r="I54" s="13">
        <f>G50</f>
        <v>-1</v>
      </c>
      <c r="J54" s="14">
        <v>0</v>
      </c>
      <c r="L54" s="12">
        <f t="array" ref="L54:N59">TRANSPOSE(E54:J56)</f>
        <v>0</v>
      </c>
      <c r="M54" s="13">
        <v>0</v>
      </c>
      <c r="N54" s="14">
        <v>-1</v>
      </c>
      <c r="P54" s="12">
        <f t="array" ref="P54:U59">MMULT(L54:N59,E54:J56)</f>
        <v>1</v>
      </c>
      <c r="Q54" s="13">
        <v>0</v>
      </c>
      <c r="R54" s="13">
        <v>0</v>
      </c>
      <c r="S54" s="13">
        <v>-1</v>
      </c>
      <c r="T54" s="13">
        <v>-1</v>
      </c>
      <c r="U54" s="14">
        <v>1</v>
      </c>
      <c r="W54" s="12">
        <f>P54*$P$41</f>
        <v>0.5</v>
      </c>
      <c r="X54" s="12">
        <f t="shared" ref="X54:AB59" si="11">Q54*$P$41</f>
        <v>0</v>
      </c>
      <c r="Y54" s="12">
        <f t="shared" si="11"/>
        <v>0</v>
      </c>
      <c r="Z54" s="12">
        <f t="shared" si="11"/>
        <v>-0.5</v>
      </c>
      <c r="AA54" s="12">
        <f t="shared" si="11"/>
        <v>-0.5</v>
      </c>
      <c r="AB54" s="12">
        <f t="shared" si="11"/>
        <v>0.5</v>
      </c>
    </row>
    <row r="55" spans="4:45" x14ac:dyDescent="0.3">
      <c r="E55" s="15">
        <v>0</v>
      </c>
      <c r="F55" s="8">
        <f t="array" ref="F55">E51</f>
        <v>-1</v>
      </c>
      <c r="G55" s="8">
        <v>0</v>
      </c>
      <c r="H55" s="8">
        <f>F51</f>
        <v>0</v>
      </c>
      <c r="I55" s="8">
        <v>0</v>
      </c>
      <c r="J55" s="16">
        <f>G51</f>
        <v>1</v>
      </c>
      <c r="L55" s="15">
        <v>0</v>
      </c>
      <c r="M55" s="8">
        <v>-1</v>
      </c>
      <c r="N55" s="16">
        <v>0</v>
      </c>
      <c r="P55" s="15">
        <v>0</v>
      </c>
      <c r="Q55" s="8">
        <v>1</v>
      </c>
      <c r="R55" s="8">
        <v>0</v>
      </c>
      <c r="S55" s="8">
        <v>0</v>
      </c>
      <c r="T55" s="8">
        <v>0</v>
      </c>
      <c r="U55" s="16">
        <v>-1</v>
      </c>
      <c r="W55" s="12">
        <f t="shared" ref="W55:W59" si="12">P55*$P$41</f>
        <v>0</v>
      </c>
      <c r="X55" s="12">
        <f t="shared" si="11"/>
        <v>0.5</v>
      </c>
      <c r="Y55" s="12">
        <f t="shared" si="11"/>
        <v>0</v>
      </c>
      <c r="Z55" s="12">
        <f t="shared" si="11"/>
        <v>0</v>
      </c>
      <c r="AA55" s="12">
        <f t="shared" si="11"/>
        <v>0</v>
      </c>
      <c r="AB55" s="12">
        <f t="shared" si="11"/>
        <v>-0.5</v>
      </c>
    </row>
    <row r="56" spans="4:45" x14ac:dyDescent="0.3">
      <c r="E56" s="17">
        <f>E51</f>
        <v>-1</v>
      </c>
      <c r="F56" s="18">
        <f>E50</f>
        <v>0</v>
      </c>
      <c r="G56" s="18">
        <f>F51</f>
        <v>0</v>
      </c>
      <c r="H56" s="18">
        <f>F50</f>
        <v>1</v>
      </c>
      <c r="I56" s="18">
        <f>G51</f>
        <v>1</v>
      </c>
      <c r="J56" s="19">
        <f>G50</f>
        <v>-1</v>
      </c>
      <c r="L56" s="15">
        <v>1</v>
      </c>
      <c r="M56" s="8">
        <v>0</v>
      </c>
      <c r="N56" s="16">
        <v>0</v>
      </c>
      <c r="P56" s="15">
        <v>0</v>
      </c>
      <c r="Q56" s="8">
        <v>0</v>
      </c>
      <c r="R56" s="8">
        <v>1</v>
      </c>
      <c r="S56" s="8">
        <v>0</v>
      </c>
      <c r="T56" s="8">
        <v>-1</v>
      </c>
      <c r="U56" s="16">
        <v>0</v>
      </c>
      <c r="W56" s="12">
        <f t="shared" si="12"/>
        <v>0</v>
      </c>
      <c r="X56" s="12">
        <f t="shared" si="11"/>
        <v>0</v>
      </c>
      <c r="Y56" s="12">
        <f t="shared" si="11"/>
        <v>0.5</v>
      </c>
      <c r="Z56" s="12">
        <f t="shared" si="11"/>
        <v>0</v>
      </c>
      <c r="AA56" s="12">
        <f t="shared" si="11"/>
        <v>-0.5</v>
      </c>
      <c r="AB56" s="12">
        <f t="shared" si="11"/>
        <v>0</v>
      </c>
    </row>
    <row r="57" spans="4:45" x14ac:dyDescent="0.3">
      <c r="L57" s="15">
        <v>0</v>
      </c>
      <c r="M57" s="8">
        <v>0</v>
      </c>
      <c r="N57" s="16">
        <v>1</v>
      </c>
      <c r="P57" s="15">
        <v>-1</v>
      </c>
      <c r="Q57" s="8">
        <v>0</v>
      </c>
      <c r="R57" s="8">
        <v>0</v>
      </c>
      <c r="S57" s="8">
        <v>1</v>
      </c>
      <c r="T57" s="8">
        <v>1</v>
      </c>
      <c r="U57" s="16">
        <v>-1</v>
      </c>
      <c r="W57" s="12">
        <f t="shared" si="12"/>
        <v>-0.5</v>
      </c>
      <c r="X57" s="12">
        <f t="shared" si="11"/>
        <v>0</v>
      </c>
      <c r="Y57" s="12">
        <f t="shared" si="11"/>
        <v>0</v>
      </c>
      <c r="Z57" s="12">
        <f t="shared" si="11"/>
        <v>0.5</v>
      </c>
      <c r="AA57" s="12">
        <f t="shared" si="11"/>
        <v>0.5</v>
      </c>
      <c r="AB57" s="12">
        <f t="shared" si="11"/>
        <v>-0.5</v>
      </c>
    </row>
    <row r="58" spans="4:45" x14ac:dyDescent="0.3">
      <c r="L58" s="15">
        <v>-1</v>
      </c>
      <c r="M58" s="8">
        <v>0</v>
      </c>
      <c r="N58" s="16">
        <v>1</v>
      </c>
      <c r="P58" s="15">
        <v>-1</v>
      </c>
      <c r="Q58" s="8">
        <v>0</v>
      </c>
      <c r="R58" s="8">
        <v>-1</v>
      </c>
      <c r="S58" s="8">
        <v>1</v>
      </c>
      <c r="T58" s="8">
        <v>2</v>
      </c>
      <c r="U58" s="16">
        <v>-1</v>
      </c>
      <c r="W58" s="12">
        <f t="shared" si="12"/>
        <v>-0.5</v>
      </c>
      <c r="X58" s="12">
        <f t="shared" si="11"/>
        <v>0</v>
      </c>
      <c r="Y58" s="12">
        <f t="shared" si="11"/>
        <v>-0.5</v>
      </c>
      <c r="Z58" s="12">
        <f t="shared" si="11"/>
        <v>0.5</v>
      </c>
      <c r="AA58" s="12">
        <f t="shared" si="11"/>
        <v>1</v>
      </c>
      <c r="AB58" s="12">
        <f t="shared" si="11"/>
        <v>-0.5</v>
      </c>
    </row>
    <row r="59" spans="4:45" x14ac:dyDescent="0.3">
      <c r="L59" s="17">
        <v>0</v>
      </c>
      <c r="M59" s="18">
        <v>1</v>
      </c>
      <c r="N59" s="19">
        <v>-1</v>
      </c>
      <c r="P59" s="17">
        <v>1</v>
      </c>
      <c r="Q59" s="18">
        <v>-1</v>
      </c>
      <c r="R59" s="18">
        <v>0</v>
      </c>
      <c r="S59" s="18">
        <v>-1</v>
      </c>
      <c r="T59" s="18">
        <v>-1</v>
      </c>
      <c r="U59" s="19">
        <v>2</v>
      </c>
      <c r="W59" s="12">
        <f t="shared" si="12"/>
        <v>0.5</v>
      </c>
      <c r="X59" s="12">
        <f t="shared" si="11"/>
        <v>-0.5</v>
      </c>
      <c r="Y59" s="12">
        <f t="shared" si="11"/>
        <v>0</v>
      </c>
      <c r="Z59" s="12">
        <f t="shared" si="11"/>
        <v>-0.5</v>
      </c>
      <c r="AA59" s="12">
        <f t="shared" si="11"/>
        <v>-0.5</v>
      </c>
      <c r="AB59" s="12">
        <f t="shared" si="11"/>
        <v>1</v>
      </c>
    </row>
    <row r="61" spans="4:45" x14ac:dyDescent="0.3">
      <c r="M61" t="s">
        <v>37</v>
      </c>
      <c r="N61" t="s">
        <v>51</v>
      </c>
    </row>
    <row r="62" spans="4:45" x14ac:dyDescent="0.3">
      <c r="I62" t="s">
        <v>34</v>
      </c>
      <c r="R62" t="s">
        <v>52</v>
      </c>
      <c r="W62" t="s">
        <v>54</v>
      </c>
      <c r="AA62" t="s">
        <v>55</v>
      </c>
      <c r="AC62" t="s">
        <v>37</v>
      </c>
    </row>
    <row r="63" spans="4:45" x14ac:dyDescent="0.3">
      <c r="H63">
        <v>1</v>
      </c>
      <c r="I63" s="12">
        <f t="shared" ref="I63:K65" si="13">O20</f>
        <v>5.5555555555555587E-2</v>
      </c>
      <c r="J63" s="13">
        <f t="shared" si="13"/>
        <v>5.5555555555555566E-2</v>
      </c>
      <c r="K63" s="14">
        <f t="shared" si="13"/>
        <v>5.5555555555555566E-2</v>
      </c>
      <c r="R63" s="12">
        <f>I63</f>
        <v>5.5555555555555587E-2</v>
      </c>
      <c r="S63" s="13">
        <f t="shared" ref="S63:T65" si="14">J63</f>
        <v>5.5555555555555566E-2</v>
      </c>
      <c r="T63" s="13">
        <f t="shared" si="14"/>
        <v>5.5555555555555566E-2</v>
      </c>
      <c r="U63" s="14">
        <v>0</v>
      </c>
      <c r="W63" s="12">
        <f>R63+R69</f>
        <v>0.11111111111111117</v>
      </c>
      <c r="X63" s="13">
        <f t="shared" ref="X63:Z66" si="15">S63+S69</f>
        <v>5.5555555555555566E-2</v>
      </c>
      <c r="Y63" s="13">
        <f t="shared" si="15"/>
        <v>0.11111111111111113</v>
      </c>
      <c r="Z63" s="14">
        <f t="shared" si="15"/>
        <v>5.5555555555555566E-2</v>
      </c>
      <c r="AA63" s="23">
        <f>SUM(W63:Z63)</f>
        <v>0.33333333333333348</v>
      </c>
      <c r="AC63" s="12">
        <f t="shared" ref="AC63:AF66" si="16">W63</f>
        <v>0.11111111111111117</v>
      </c>
      <c r="AD63" s="13">
        <f t="shared" si="16"/>
        <v>5.5555555555555566E-2</v>
      </c>
      <c r="AE63" s="13">
        <f t="shared" si="16"/>
        <v>0.11111111111111113</v>
      </c>
      <c r="AF63" s="13">
        <f t="shared" si="16"/>
        <v>5.5555555555555566E-2</v>
      </c>
      <c r="AG63" s="13">
        <v>0</v>
      </c>
      <c r="AH63" s="13">
        <v>0</v>
      </c>
      <c r="AI63" s="13">
        <v>0</v>
      </c>
      <c r="AJ63" s="14">
        <v>0</v>
      </c>
      <c r="AL63" s="12">
        <f>AA63</f>
        <v>0.33333333333333348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4">
        <v>0</v>
      </c>
    </row>
    <row r="64" spans="4:45" x14ac:dyDescent="0.3">
      <c r="H64">
        <v>2</v>
      </c>
      <c r="I64" s="15">
        <f t="shared" si="13"/>
        <v>5.5555555555555566E-2</v>
      </c>
      <c r="J64" s="8">
        <f t="shared" si="13"/>
        <v>5.5555555555555552E-2</v>
      </c>
      <c r="K64" s="16">
        <f t="shared" si="13"/>
        <v>5.5555555555555552E-2</v>
      </c>
      <c r="R64" s="15">
        <f t="shared" ref="R64:R65" si="17">I64</f>
        <v>5.5555555555555566E-2</v>
      </c>
      <c r="S64" s="8">
        <f t="shared" si="14"/>
        <v>5.5555555555555552E-2</v>
      </c>
      <c r="T64" s="8">
        <f t="shared" si="14"/>
        <v>5.5555555555555552E-2</v>
      </c>
      <c r="U64" s="16">
        <v>0</v>
      </c>
      <c r="W64" s="15">
        <f t="shared" ref="W64:W66" si="18">R64+R70</f>
        <v>5.5555555555555566E-2</v>
      </c>
      <c r="X64" s="8">
        <f t="shared" si="15"/>
        <v>5.5555555555555552E-2</v>
      </c>
      <c r="Y64" s="8">
        <f t="shared" si="15"/>
        <v>5.5555555555555552E-2</v>
      </c>
      <c r="Z64" s="16">
        <f t="shared" si="15"/>
        <v>0</v>
      </c>
      <c r="AA64" s="23">
        <f t="shared" ref="AA64:AA66" si="19">SUM(W64:Z64)</f>
        <v>0.16666666666666669</v>
      </c>
      <c r="AC64" s="15">
        <f t="shared" si="16"/>
        <v>5.5555555555555566E-2</v>
      </c>
      <c r="AD64" s="8">
        <f t="shared" si="16"/>
        <v>5.5555555555555552E-2</v>
      </c>
      <c r="AE64" s="8">
        <f t="shared" si="16"/>
        <v>5.5555555555555552E-2</v>
      </c>
      <c r="AF64" s="8">
        <f t="shared" si="16"/>
        <v>0</v>
      </c>
      <c r="AG64" s="8">
        <v>0</v>
      </c>
      <c r="AH64" s="8">
        <v>0</v>
      </c>
      <c r="AI64" s="8">
        <v>0</v>
      </c>
      <c r="AJ64" s="16">
        <v>0</v>
      </c>
      <c r="AL64" s="15">
        <v>0</v>
      </c>
      <c r="AM64" s="8">
        <f>AA64</f>
        <v>0.16666666666666669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16">
        <v>0</v>
      </c>
    </row>
    <row r="65" spans="8:45" x14ac:dyDescent="0.3">
      <c r="H65">
        <v>3</v>
      </c>
      <c r="I65" s="17">
        <f t="shared" si="13"/>
        <v>5.5555555555555566E-2</v>
      </c>
      <c r="J65" s="18">
        <f t="shared" si="13"/>
        <v>5.5555555555555552E-2</v>
      </c>
      <c r="K65" s="19">
        <f t="shared" si="13"/>
        <v>5.5555555555555552E-2</v>
      </c>
      <c r="R65" s="15">
        <f t="shared" si="17"/>
        <v>5.5555555555555566E-2</v>
      </c>
      <c r="S65" s="8">
        <f t="shared" si="14"/>
        <v>5.5555555555555552E-2</v>
      </c>
      <c r="T65" s="8">
        <f t="shared" si="14"/>
        <v>5.5555555555555552E-2</v>
      </c>
      <c r="U65" s="16">
        <v>0</v>
      </c>
      <c r="W65" s="15">
        <f t="shared" si="18"/>
        <v>0.11111111111111113</v>
      </c>
      <c r="X65" s="8">
        <f t="shared" si="15"/>
        <v>5.5555555555555552E-2</v>
      </c>
      <c r="Y65" s="8">
        <f t="shared" si="15"/>
        <v>0.1111111111111111</v>
      </c>
      <c r="Z65" s="16">
        <f t="shared" si="15"/>
        <v>5.5555555555555552E-2</v>
      </c>
      <c r="AA65" s="23">
        <f t="shared" si="19"/>
        <v>0.33333333333333337</v>
      </c>
      <c r="AC65" s="15">
        <f t="shared" si="16"/>
        <v>0.11111111111111113</v>
      </c>
      <c r="AD65" s="8">
        <f t="shared" si="16"/>
        <v>5.5555555555555552E-2</v>
      </c>
      <c r="AE65" s="8">
        <f t="shared" si="16"/>
        <v>0.1111111111111111</v>
      </c>
      <c r="AF65" s="8">
        <f t="shared" si="16"/>
        <v>5.5555555555555552E-2</v>
      </c>
      <c r="AG65" s="8">
        <v>0</v>
      </c>
      <c r="AH65" s="8">
        <v>0</v>
      </c>
      <c r="AI65" s="8">
        <v>0</v>
      </c>
      <c r="AJ65" s="16">
        <v>0</v>
      </c>
      <c r="AL65" s="15">
        <v>0</v>
      </c>
      <c r="AM65" s="8">
        <v>0</v>
      </c>
      <c r="AN65" s="8">
        <f>AA65</f>
        <v>0.33333333333333337</v>
      </c>
      <c r="AO65" s="8">
        <v>0</v>
      </c>
      <c r="AP65" s="8">
        <v>0</v>
      </c>
      <c r="AQ65" s="8">
        <v>0</v>
      </c>
      <c r="AR65" s="8">
        <v>0</v>
      </c>
      <c r="AS65" s="16">
        <v>0</v>
      </c>
    </row>
    <row r="66" spans="8:45" x14ac:dyDescent="0.3">
      <c r="R66" s="17">
        <v>0</v>
      </c>
      <c r="S66" s="18">
        <v>0</v>
      </c>
      <c r="T66" s="18">
        <v>0</v>
      </c>
      <c r="U66" s="19">
        <v>0</v>
      </c>
      <c r="W66" s="17">
        <f t="shared" si="18"/>
        <v>5.5555555555555566E-2</v>
      </c>
      <c r="X66" s="18">
        <f t="shared" si="15"/>
        <v>0</v>
      </c>
      <c r="Y66" s="18">
        <f t="shared" si="15"/>
        <v>5.5555555555555552E-2</v>
      </c>
      <c r="Z66" s="19">
        <f t="shared" si="15"/>
        <v>5.5555555555555552E-2</v>
      </c>
      <c r="AA66" s="23">
        <f t="shared" si="19"/>
        <v>0.16666666666666669</v>
      </c>
      <c r="AC66" s="15">
        <f t="shared" si="16"/>
        <v>5.5555555555555566E-2</v>
      </c>
      <c r="AD66" s="8">
        <f t="shared" si="16"/>
        <v>0</v>
      </c>
      <c r="AE66" s="8">
        <f t="shared" si="16"/>
        <v>5.5555555555555552E-2</v>
      </c>
      <c r="AF66" s="8">
        <f t="shared" si="16"/>
        <v>5.5555555555555552E-2</v>
      </c>
      <c r="AG66" s="8">
        <v>0</v>
      </c>
      <c r="AH66" s="8">
        <v>0</v>
      </c>
      <c r="AI66" s="8">
        <v>0</v>
      </c>
      <c r="AJ66" s="16">
        <v>0</v>
      </c>
      <c r="AL66" s="15">
        <v>0</v>
      </c>
      <c r="AM66" s="8">
        <v>0</v>
      </c>
      <c r="AN66" s="8">
        <v>0</v>
      </c>
      <c r="AO66" s="8">
        <f>AA66</f>
        <v>0.16666666666666669</v>
      </c>
      <c r="AP66" s="8">
        <v>0</v>
      </c>
      <c r="AQ66" s="8">
        <v>0</v>
      </c>
      <c r="AR66" s="8">
        <v>0</v>
      </c>
      <c r="AS66" s="16">
        <v>0</v>
      </c>
    </row>
    <row r="67" spans="8:45" x14ac:dyDescent="0.3">
      <c r="I67" t="s">
        <v>35</v>
      </c>
      <c r="AC67" s="15">
        <v>0</v>
      </c>
      <c r="AD67" s="8">
        <v>0</v>
      </c>
      <c r="AE67" s="8">
        <v>0</v>
      </c>
      <c r="AF67" s="8">
        <v>0</v>
      </c>
      <c r="AG67" s="8">
        <f t="shared" ref="AG67:AJ70" si="20">W63</f>
        <v>0.11111111111111117</v>
      </c>
      <c r="AH67" s="8">
        <f t="shared" si="20"/>
        <v>5.5555555555555566E-2</v>
      </c>
      <c r="AI67" s="8">
        <f t="shared" si="20"/>
        <v>0.11111111111111113</v>
      </c>
      <c r="AJ67" s="16">
        <f t="shared" si="20"/>
        <v>5.5555555555555566E-2</v>
      </c>
      <c r="AL67" s="15">
        <v>0</v>
      </c>
      <c r="AM67" s="8">
        <v>0</v>
      </c>
      <c r="AN67" s="8">
        <v>0</v>
      </c>
      <c r="AO67" s="8">
        <v>0</v>
      </c>
      <c r="AP67" s="8">
        <f>AA63</f>
        <v>0.33333333333333348</v>
      </c>
      <c r="AQ67" s="8">
        <v>0</v>
      </c>
      <c r="AR67" s="8">
        <v>0</v>
      </c>
      <c r="AS67" s="16">
        <v>0</v>
      </c>
    </row>
    <row r="68" spans="8:45" x14ac:dyDescent="0.3">
      <c r="H68">
        <v>1</v>
      </c>
      <c r="I68" s="12">
        <f t="shared" ref="I68:K70" si="21">O46</f>
        <v>5.5555555555555587E-2</v>
      </c>
      <c r="J68" s="13">
        <f t="shared" si="21"/>
        <v>5.5555555555555566E-2</v>
      </c>
      <c r="K68" s="14">
        <f t="shared" si="21"/>
        <v>5.5555555555555566E-2</v>
      </c>
      <c r="R68" t="s">
        <v>53</v>
      </c>
      <c r="AC68" s="15">
        <v>0</v>
      </c>
      <c r="AD68" s="8">
        <v>0</v>
      </c>
      <c r="AE68" s="8">
        <v>0</v>
      </c>
      <c r="AF68" s="8">
        <v>0</v>
      </c>
      <c r="AG68" s="8">
        <f t="shared" si="20"/>
        <v>5.5555555555555566E-2</v>
      </c>
      <c r="AH68" s="8">
        <f t="shared" si="20"/>
        <v>5.5555555555555552E-2</v>
      </c>
      <c r="AI68" s="8">
        <f t="shared" si="20"/>
        <v>5.5555555555555552E-2</v>
      </c>
      <c r="AJ68" s="16">
        <f t="shared" si="20"/>
        <v>0</v>
      </c>
      <c r="AL68" s="15">
        <v>0</v>
      </c>
      <c r="AM68" s="8">
        <v>0</v>
      </c>
      <c r="AN68" s="8">
        <v>0</v>
      </c>
      <c r="AO68" s="8">
        <v>0</v>
      </c>
      <c r="AP68" s="8">
        <v>0</v>
      </c>
      <c r="AQ68" s="8">
        <f>AA64</f>
        <v>0.16666666666666669</v>
      </c>
      <c r="AR68" s="8">
        <v>0</v>
      </c>
      <c r="AS68" s="16">
        <v>0</v>
      </c>
    </row>
    <row r="69" spans="8:45" x14ac:dyDescent="0.3">
      <c r="H69">
        <v>3</v>
      </c>
      <c r="I69" s="15">
        <f t="shared" si="21"/>
        <v>5.5555555555555566E-2</v>
      </c>
      <c r="J69" s="8">
        <f t="shared" si="21"/>
        <v>5.5555555555555552E-2</v>
      </c>
      <c r="K69" s="16">
        <f t="shared" si="21"/>
        <v>5.5555555555555552E-2</v>
      </c>
      <c r="R69" s="12">
        <f>I68</f>
        <v>5.5555555555555587E-2</v>
      </c>
      <c r="S69" s="13">
        <v>0</v>
      </c>
      <c r="T69" s="13">
        <f>J68</f>
        <v>5.5555555555555566E-2</v>
      </c>
      <c r="U69" s="14">
        <f>K68</f>
        <v>5.5555555555555566E-2</v>
      </c>
      <c r="AC69" s="15">
        <v>0</v>
      </c>
      <c r="AD69" s="8">
        <v>0</v>
      </c>
      <c r="AE69" s="8">
        <v>0</v>
      </c>
      <c r="AF69" s="8">
        <v>0</v>
      </c>
      <c r="AG69" s="8">
        <f t="shared" si="20"/>
        <v>0.11111111111111113</v>
      </c>
      <c r="AH69" s="8">
        <f t="shared" si="20"/>
        <v>5.5555555555555552E-2</v>
      </c>
      <c r="AI69" s="8">
        <f t="shared" si="20"/>
        <v>0.1111111111111111</v>
      </c>
      <c r="AJ69" s="16">
        <f t="shared" si="20"/>
        <v>5.5555555555555552E-2</v>
      </c>
      <c r="AL69" s="15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f>AA65</f>
        <v>0.33333333333333337</v>
      </c>
      <c r="AS69" s="16">
        <v>0</v>
      </c>
    </row>
    <row r="70" spans="8:45" x14ac:dyDescent="0.3">
      <c r="H70">
        <v>4</v>
      </c>
      <c r="I70" s="17">
        <f t="shared" si="21"/>
        <v>5.5555555555555566E-2</v>
      </c>
      <c r="J70" s="18">
        <f t="shared" si="21"/>
        <v>5.5555555555555552E-2</v>
      </c>
      <c r="K70" s="19">
        <f t="shared" si="21"/>
        <v>5.5555555555555552E-2</v>
      </c>
      <c r="R70" s="15">
        <v>0</v>
      </c>
      <c r="S70" s="8">
        <v>0</v>
      </c>
      <c r="T70" s="8">
        <v>0</v>
      </c>
      <c r="U70" s="16">
        <v>0</v>
      </c>
      <c r="AC70" s="17">
        <v>0</v>
      </c>
      <c r="AD70" s="18">
        <v>0</v>
      </c>
      <c r="AE70" s="18">
        <v>0</v>
      </c>
      <c r="AF70" s="18">
        <v>0</v>
      </c>
      <c r="AG70" s="18">
        <f t="shared" si="20"/>
        <v>5.5555555555555566E-2</v>
      </c>
      <c r="AH70" s="18">
        <f t="shared" si="20"/>
        <v>0</v>
      </c>
      <c r="AI70" s="18">
        <f t="shared" si="20"/>
        <v>5.5555555555555552E-2</v>
      </c>
      <c r="AJ70" s="19">
        <f t="shared" si="20"/>
        <v>5.5555555555555552E-2</v>
      </c>
      <c r="AL70" s="17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9">
        <f>AA66</f>
        <v>0.16666666666666669</v>
      </c>
    </row>
    <row r="71" spans="8:45" x14ac:dyDescent="0.3">
      <c r="R71" s="15">
        <f>I69</f>
        <v>5.5555555555555566E-2</v>
      </c>
      <c r="S71" s="8">
        <v>0</v>
      </c>
      <c r="T71" s="8">
        <f>J69</f>
        <v>5.5555555555555552E-2</v>
      </c>
      <c r="U71" s="16">
        <f>K69</f>
        <v>5.5555555555555552E-2</v>
      </c>
    </row>
    <row r="72" spans="8:45" x14ac:dyDescent="0.3">
      <c r="R72" s="17">
        <f>I70</f>
        <v>5.5555555555555566E-2</v>
      </c>
      <c r="S72" s="18">
        <v>0</v>
      </c>
      <c r="T72" s="18">
        <f>J70</f>
        <v>5.5555555555555552E-2</v>
      </c>
      <c r="U72" s="19">
        <f>K70</f>
        <v>5.5555555555555552E-2</v>
      </c>
      <c r="AL72" t="s">
        <v>60</v>
      </c>
    </row>
    <row r="73" spans="8:45" x14ac:dyDescent="0.3">
      <c r="AL73">
        <f t="array" ref="AL73:AS80">MINVERSE(AL63:AS70)</f>
        <v>2.9999999999999987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8:45" x14ac:dyDescent="0.3">
      <c r="AL74">
        <v>0</v>
      </c>
      <c r="AM74">
        <v>5.9999999999999991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8:45" x14ac:dyDescent="0.3">
      <c r="AL75">
        <v>0</v>
      </c>
      <c r="AM75">
        <v>0</v>
      </c>
      <c r="AN75">
        <v>2.9999999999999996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8:45" x14ac:dyDescent="0.3">
      <c r="I76" t="s">
        <v>26</v>
      </c>
      <c r="W76" t="s">
        <v>57</v>
      </c>
      <c r="X76" t="s">
        <v>51</v>
      </c>
      <c r="AF76" t="s">
        <v>92</v>
      </c>
      <c r="AL76">
        <v>0</v>
      </c>
      <c r="AM76">
        <v>0</v>
      </c>
      <c r="AN76">
        <v>0</v>
      </c>
      <c r="AO76">
        <v>5.9999999999999991</v>
      </c>
      <c r="AP76">
        <v>0</v>
      </c>
      <c r="AQ76">
        <v>0</v>
      </c>
      <c r="AR76">
        <v>0</v>
      </c>
      <c r="AS76">
        <v>0</v>
      </c>
    </row>
    <row r="77" spans="8:45" x14ac:dyDescent="0.3">
      <c r="H77">
        <v>1</v>
      </c>
      <c r="I77" s="12">
        <f>V24*$H$294</f>
        <v>5.5401553377451451E-2</v>
      </c>
      <c r="J77" s="12">
        <f t="shared" ref="J77:K77" si="22">W24*$H$294</f>
        <v>-5.5401553377451451E-2</v>
      </c>
      <c r="K77" s="12">
        <f t="shared" si="22"/>
        <v>0</v>
      </c>
      <c r="M77" s="12">
        <f>I77</f>
        <v>5.5401553377451451E-2</v>
      </c>
      <c r="N77" s="12">
        <f t="shared" ref="N77:O79" si="23">J77</f>
        <v>-5.5401553377451451E-2</v>
      </c>
      <c r="O77" s="12">
        <f t="shared" si="23"/>
        <v>0</v>
      </c>
      <c r="P77" s="14">
        <v>0</v>
      </c>
      <c r="R77" s="12">
        <f>M77+M82</f>
        <v>0.11064189986582801</v>
      </c>
      <c r="S77" s="13">
        <f t="shared" ref="S77:U80" si="24">N77+N82</f>
        <v>-5.5401553377451451E-2</v>
      </c>
      <c r="T77" s="13">
        <f t="shared" si="24"/>
        <v>0</v>
      </c>
      <c r="U77" s="14">
        <f t="shared" si="24"/>
        <v>-5.524034648837655E-2</v>
      </c>
      <c r="W77" s="12">
        <f>R77</f>
        <v>0.11064189986582801</v>
      </c>
      <c r="X77" s="13">
        <f t="shared" ref="X77:Z80" si="25">S77</f>
        <v>-5.5401553377451451E-2</v>
      </c>
      <c r="Y77" s="13">
        <f t="shared" si="25"/>
        <v>0</v>
      </c>
      <c r="Z77" s="13">
        <f t="shared" si="25"/>
        <v>-5.524034648837655E-2</v>
      </c>
      <c r="AA77" s="13">
        <v>0</v>
      </c>
      <c r="AB77" s="13">
        <v>0</v>
      </c>
      <c r="AC77" s="13">
        <v>0</v>
      </c>
      <c r="AD77" s="14">
        <v>0</v>
      </c>
      <c r="AL77">
        <v>0</v>
      </c>
      <c r="AM77">
        <v>0</v>
      </c>
      <c r="AN77">
        <v>0</v>
      </c>
      <c r="AO77">
        <v>0</v>
      </c>
      <c r="AP77">
        <v>2.9999999999999987</v>
      </c>
      <c r="AQ77">
        <v>0</v>
      </c>
      <c r="AR77">
        <v>0</v>
      </c>
      <c r="AS77">
        <v>0</v>
      </c>
    </row>
    <row r="78" spans="8:45" x14ac:dyDescent="0.3">
      <c r="H78">
        <v>2</v>
      </c>
      <c r="I78" s="12">
        <f t="shared" ref="I78:I79" si="26">V25*$H$294</f>
        <v>-5.5401553377451451E-2</v>
      </c>
      <c r="J78" s="12">
        <f t="shared" ref="J78:J79" si="27">W25*$H$294</f>
        <v>0.1108031067549029</v>
      </c>
      <c r="K78" s="12">
        <f t="shared" ref="K78:K79" si="28">X25*$H$294</f>
        <v>-5.5401553377451451E-2</v>
      </c>
      <c r="M78" s="12">
        <f t="shared" ref="M78:M79" si="29">I78</f>
        <v>-5.5401553377451451E-2</v>
      </c>
      <c r="N78" s="12">
        <f t="shared" si="23"/>
        <v>0.1108031067549029</v>
      </c>
      <c r="O78" s="12">
        <f t="shared" si="23"/>
        <v>-5.5401553377451451E-2</v>
      </c>
      <c r="P78" s="16">
        <v>0</v>
      </c>
      <c r="R78" s="15">
        <f t="shared" ref="R78:R80" si="30">M78+M83</f>
        <v>-5.5401553377451451E-2</v>
      </c>
      <c r="S78" s="8">
        <f t="shared" si="24"/>
        <v>0.1108031067549029</v>
      </c>
      <c r="T78" s="8">
        <f t="shared" si="24"/>
        <v>-5.5401553377451451E-2</v>
      </c>
      <c r="U78" s="16">
        <f t="shared" si="24"/>
        <v>0</v>
      </c>
      <c r="W78" s="15">
        <f t="shared" ref="W78:W80" si="31">R78</f>
        <v>-5.5401553377451451E-2</v>
      </c>
      <c r="X78" s="8">
        <f t="shared" si="25"/>
        <v>0.1108031067549029</v>
      </c>
      <c r="Y78" s="8">
        <f t="shared" si="25"/>
        <v>-5.5401553377451451E-2</v>
      </c>
      <c r="Z78" s="8">
        <f t="shared" si="25"/>
        <v>0</v>
      </c>
      <c r="AA78" s="8">
        <v>0</v>
      </c>
      <c r="AB78" s="8">
        <v>0</v>
      </c>
      <c r="AC78" s="8">
        <v>0</v>
      </c>
      <c r="AD78" s="16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5.9999999999999991</v>
      </c>
      <c r="AR78">
        <v>0</v>
      </c>
      <c r="AS78">
        <v>0</v>
      </c>
    </row>
    <row r="79" spans="8:45" x14ac:dyDescent="0.3">
      <c r="H79">
        <v>3</v>
      </c>
      <c r="I79" s="12">
        <f t="shared" si="26"/>
        <v>0</v>
      </c>
      <c r="J79" s="12">
        <f t="shared" si="27"/>
        <v>-5.5401553377451451E-2</v>
      </c>
      <c r="K79" s="12">
        <f t="shared" si="28"/>
        <v>5.5401553377451451E-2</v>
      </c>
      <c r="M79" s="12">
        <f t="shared" si="29"/>
        <v>0</v>
      </c>
      <c r="N79" s="12">
        <f t="shared" si="23"/>
        <v>-5.5401553377451451E-2</v>
      </c>
      <c r="O79" s="12">
        <f t="shared" si="23"/>
        <v>5.5401553377451451E-2</v>
      </c>
      <c r="P79" s="16">
        <v>0</v>
      </c>
      <c r="R79" s="15">
        <f t="shared" si="30"/>
        <v>0</v>
      </c>
      <c r="S79" s="8">
        <f t="shared" si="24"/>
        <v>-5.5401553377451451E-2</v>
      </c>
      <c r="T79" s="8">
        <f t="shared" si="24"/>
        <v>0.11064189986582801</v>
      </c>
      <c r="U79" s="16">
        <f t="shared" si="24"/>
        <v>-5.524034648837655E-2</v>
      </c>
      <c r="W79" s="15">
        <f t="shared" si="31"/>
        <v>0</v>
      </c>
      <c r="X79" s="8">
        <f t="shared" si="25"/>
        <v>-5.5401553377451451E-2</v>
      </c>
      <c r="Y79" s="8">
        <f t="shared" si="25"/>
        <v>0.11064189986582801</v>
      </c>
      <c r="Z79" s="8">
        <f t="shared" si="25"/>
        <v>-5.524034648837655E-2</v>
      </c>
      <c r="AA79" s="8">
        <v>0</v>
      </c>
      <c r="AB79" s="8">
        <v>0</v>
      </c>
      <c r="AC79" s="8">
        <v>0</v>
      </c>
      <c r="AD79" s="16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2.9999999999999996</v>
      </c>
      <c r="AS79">
        <v>0</v>
      </c>
    </row>
    <row r="80" spans="8:45" x14ac:dyDescent="0.3">
      <c r="M80" s="17">
        <v>0</v>
      </c>
      <c r="N80" s="18">
        <v>0</v>
      </c>
      <c r="O80" s="18">
        <v>0</v>
      </c>
      <c r="P80" s="19">
        <v>0</v>
      </c>
      <c r="R80" s="17">
        <f t="shared" si="30"/>
        <v>-5.524034648837655E-2</v>
      </c>
      <c r="S80" s="18">
        <f t="shared" si="24"/>
        <v>0</v>
      </c>
      <c r="T80" s="18">
        <f t="shared" si="24"/>
        <v>-5.524034648837655E-2</v>
      </c>
      <c r="U80" s="19">
        <f t="shared" si="24"/>
        <v>0.1104806929767531</v>
      </c>
      <c r="W80" s="15">
        <f t="shared" si="31"/>
        <v>-5.524034648837655E-2</v>
      </c>
      <c r="X80" s="8">
        <f t="shared" si="25"/>
        <v>0</v>
      </c>
      <c r="Y80" s="8">
        <f t="shared" si="25"/>
        <v>-5.524034648837655E-2</v>
      </c>
      <c r="Z80" s="8">
        <f t="shared" si="25"/>
        <v>0.1104806929767531</v>
      </c>
      <c r="AA80" s="8">
        <v>0</v>
      </c>
      <c r="AB80" s="8">
        <v>0</v>
      </c>
      <c r="AC80" s="8">
        <v>0</v>
      </c>
      <c r="AD80" s="16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5.9999999999999991</v>
      </c>
    </row>
    <row r="81" spans="1:30" x14ac:dyDescent="0.3">
      <c r="I81" t="s">
        <v>27</v>
      </c>
      <c r="W81" s="15">
        <v>0</v>
      </c>
      <c r="X81" s="8">
        <v>0</v>
      </c>
      <c r="Y81" s="8">
        <v>0</v>
      </c>
      <c r="Z81" s="8">
        <v>0</v>
      </c>
      <c r="AA81" s="8">
        <f>R77</f>
        <v>0.11064189986582801</v>
      </c>
      <c r="AB81" s="8">
        <f t="shared" ref="AB81:AD84" si="32">S77</f>
        <v>-5.5401553377451451E-2</v>
      </c>
      <c r="AC81" s="8">
        <f t="shared" si="32"/>
        <v>0</v>
      </c>
      <c r="AD81" s="16">
        <f t="shared" si="32"/>
        <v>-5.524034648837655E-2</v>
      </c>
    </row>
    <row r="82" spans="1:30" x14ac:dyDescent="0.3">
      <c r="H82">
        <v>1</v>
      </c>
      <c r="I82" s="12">
        <f>V50*$J$294</f>
        <v>5.524034648837655E-2</v>
      </c>
      <c r="J82" s="12">
        <f t="shared" ref="J82:K82" si="33">W50*$J$294</f>
        <v>0</v>
      </c>
      <c r="K82" s="12">
        <f t="shared" si="33"/>
        <v>-5.524034648837655E-2</v>
      </c>
      <c r="M82" s="12">
        <f>I82</f>
        <v>5.524034648837655E-2</v>
      </c>
      <c r="N82" s="13">
        <v>0</v>
      </c>
      <c r="O82" s="13">
        <f>J82</f>
        <v>0</v>
      </c>
      <c r="P82" s="13">
        <f>K82</f>
        <v>-5.524034648837655E-2</v>
      </c>
      <c r="W82" s="15">
        <v>0</v>
      </c>
      <c r="X82" s="8">
        <v>0</v>
      </c>
      <c r="Y82" s="8">
        <v>0</v>
      </c>
      <c r="Z82" s="8">
        <v>0</v>
      </c>
      <c r="AA82" s="8">
        <f t="shared" ref="AA82:AA84" si="34">R78</f>
        <v>-5.5401553377451451E-2</v>
      </c>
      <c r="AB82" s="8">
        <f t="shared" si="32"/>
        <v>0.1108031067549029</v>
      </c>
      <c r="AC82" s="8">
        <f t="shared" si="32"/>
        <v>-5.5401553377451451E-2</v>
      </c>
      <c r="AD82" s="16">
        <f t="shared" si="32"/>
        <v>0</v>
      </c>
    </row>
    <row r="83" spans="1:30" x14ac:dyDescent="0.3">
      <c r="H83">
        <v>3</v>
      </c>
      <c r="I83" s="12">
        <f>V51*$J$294</f>
        <v>0</v>
      </c>
      <c r="J83" s="12">
        <f t="shared" ref="J83:J84" si="35">W51*$J$294</f>
        <v>5.524034648837655E-2</v>
      </c>
      <c r="K83" s="12">
        <f t="shared" ref="K83:K84" si="36">X51*$J$294</f>
        <v>-5.524034648837655E-2</v>
      </c>
      <c r="M83" s="15">
        <v>0</v>
      </c>
      <c r="N83" s="8">
        <v>0</v>
      </c>
      <c r="O83" s="8">
        <v>0</v>
      </c>
      <c r="P83" s="16">
        <v>0</v>
      </c>
      <c r="W83" s="15">
        <v>0</v>
      </c>
      <c r="X83" s="8">
        <v>0</v>
      </c>
      <c r="Y83" s="8">
        <v>0</v>
      </c>
      <c r="Z83" s="8">
        <v>0</v>
      </c>
      <c r="AA83" s="8">
        <f t="shared" si="34"/>
        <v>0</v>
      </c>
      <c r="AB83" s="8">
        <f t="shared" si="32"/>
        <v>-5.5401553377451451E-2</v>
      </c>
      <c r="AC83" s="8">
        <f t="shared" si="32"/>
        <v>0.11064189986582801</v>
      </c>
      <c r="AD83" s="16">
        <f t="shared" si="32"/>
        <v>-5.524034648837655E-2</v>
      </c>
    </row>
    <row r="84" spans="1:30" x14ac:dyDescent="0.3">
      <c r="H84">
        <v>4</v>
      </c>
      <c r="I84" s="12">
        <f t="shared" ref="I84" si="37">V52*$J$294</f>
        <v>-5.524034648837655E-2</v>
      </c>
      <c r="J84" s="12">
        <f t="shared" si="35"/>
        <v>-5.524034648837655E-2</v>
      </c>
      <c r="K84" s="12">
        <f t="shared" si="36"/>
        <v>0.1104806929767531</v>
      </c>
      <c r="M84" s="15">
        <v>0</v>
      </c>
      <c r="N84" s="23">
        <v>0</v>
      </c>
      <c r="O84" s="8">
        <f>J83</f>
        <v>5.524034648837655E-2</v>
      </c>
      <c r="P84" s="8">
        <f>K83</f>
        <v>-5.524034648837655E-2</v>
      </c>
      <c r="W84" s="17">
        <v>0</v>
      </c>
      <c r="X84" s="18">
        <v>0</v>
      </c>
      <c r="Y84" s="18">
        <v>0</v>
      </c>
      <c r="Z84" s="18">
        <v>0</v>
      </c>
      <c r="AA84" s="18">
        <f t="shared" si="34"/>
        <v>-5.524034648837655E-2</v>
      </c>
      <c r="AB84" s="18">
        <f t="shared" si="32"/>
        <v>0</v>
      </c>
      <c r="AC84" s="18">
        <f t="shared" si="32"/>
        <v>-5.524034648837655E-2</v>
      </c>
      <c r="AD84" s="19">
        <f t="shared" si="32"/>
        <v>0.1104806929767531</v>
      </c>
    </row>
    <row r="85" spans="1:30" x14ac:dyDescent="0.3">
      <c r="M85" s="15">
        <f>I84</f>
        <v>-5.524034648837655E-2</v>
      </c>
      <c r="N85" s="18">
        <v>0</v>
      </c>
      <c r="O85" s="8">
        <f>J84</f>
        <v>-5.524034648837655E-2</v>
      </c>
      <c r="P85" s="8">
        <f>K84</f>
        <v>0.1104806929767531</v>
      </c>
      <c r="W85" t="s">
        <v>57</v>
      </c>
      <c r="X85" t="s">
        <v>51</v>
      </c>
      <c r="Y85" t="s">
        <v>91</v>
      </c>
    </row>
    <row r="86" spans="1:30" x14ac:dyDescent="0.3">
      <c r="A86" t="s">
        <v>86</v>
      </c>
      <c r="J86" t="s">
        <v>85</v>
      </c>
      <c r="W86" s="12">
        <f>W77*$S$4</f>
        <v>1.1064189986582802E-2</v>
      </c>
      <c r="X86" s="13">
        <f t="shared" ref="X86:AD86" si="38">X77*$S$4</f>
        <v>-5.5401553377451458E-3</v>
      </c>
      <c r="Y86" s="13">
        <f t="shared" si="38"/>
        <v>0</v>
      </c>
      <c r="Z86" s="13">
        <f t="shared" si="38"/>
        <v>-5.5240346488376552E-3</v>
      </c>
      <c r="AA86" s="13">
        <f t="shared" si="38"/>
        <v>0</v>
      </c>
      <c r="AB86" s="13">
        <f t="shared" si="38"/>
        <v>0</v>
      </c>
      <c r="AC86" s="13">
        <f t="shared" si="38"/>
        <v>0</v>
      </c>
      <c r="AD86" s="14">
        <f t="shared" si="38"/>
        <v>0</v>
      </c>
    </row>
    <row r="87" spans="1:30" x14ac:dyDescent="0.3">
      <c r="A87" t="s">
        <v>38</v>
      </c>
      <c r="J87" t="s">
        <v>41</v>
      </c>
      <c r="K87" t="s">
        <v>42</v>
      </c>
      <c r="W87" s="15">
        <f t="shared" ref="W87:AD93" si="39">W78*$S$4</f>
        <v>-5.5401553377451458E-3</v>
      </c>
      <c r="X87" s="8">
        <f t="shared" si="39"/>
        <v>1.1080310675490292E-2</v>
      </c>
      <c r="Y87" s="8">
        <f t="shared" si="39"/>
        <v>-5.5401553377451458E-3</v>
      </c>
      <c r="Z87" s="8">
        <f t="shared" si="39"/>
        <v>0</v>
      </c>
      <c r="AA87" s="8">
        <f t="shared" si="39"/>
        <v>0</v>
      </c>
      <c r="AB87" s="8">
        <f t="shared" si="39"/>
        <v>0</v>
      </c>
      <c r="AC87" s="8">
        <f t="shared" si="39"/>
        <v>0</v>
      </c>
      <c r="AD87" s="16">
        <f t="shared" si="39"/>
        <v>0</v>
      </c>
    </row>
    <row r="88" spans="1:30" x14ac:dyDescent="0.3">
      <c r="H88" t="s">
        <v>43</v>
      </c>
      <c r="J88" s="36">
        <f>(C187+C189+C191)/3</f>
        <v>0.39276981144937323</v>
      </c>
      <c r="K88" s="36">
        <f>(C188+C190+C192)/3</f>
        <v>-0.10842071771267958</v>
      </c>
      <c r="W88" s="15">
        <f t="shared" si="39"/>
        <v>0</v>
      </c>
      <c r="X88" s="8">
        <f t="shared" si="39"/>
        <v>-5.5401553377451458E-3</v>
      </c>
      <c r="Y88" s="8">
        <f t="shared" si="39"/>
        <v>1.1064189986582802E-2</v>
      </c>
      <c r="Z88" s="8">
        <f t="shared" si="39"/>
        <v>-5.5240346488376552E-3</v>
      </c>
      <c r="AA88" s="8">
        <f t="shared" si="39"/>
        <v>0</v>
      </c>
      <c r="AB88" s="8">
        <f t="shared" si="39"/>
        <v>0</v>
      </c>
      <c r="AC88" s="8">
        <f t="shared" si="39"/>
        <v>0</v>
      </c>
      <c r="AD88" s="16">
        <f t="shared" si="39"/>
        <v>0</v>
      </c>
    </row>
    <row r="89" spans="1:30" x14ac:dyDescent="0.3">
      <c r="H89" t="s">
        <v>39</v>
      </c>
      <c r="L89" t="s">
        <v>36</v>
      </c>
      <c r="W89" s="15">
        <f t="shared" si="39"/>
        <v>-5.5240346488376552E-3</v>
      </c>
      <c r="X89" s="8">
        <f t="shared" si="39"/>
        <v>0</v>
      </c>
      <c r="Y89" s="8">
        <f t="shared" si="39"/>
        <v>-5.5240346488376552E-3</v>
      </c>
      <c r="Z89" s="8">
        <f t="shared" si="39"/>
        <v>1.104806929767531E-2</v>
      </c>
      <c r="AA89" s="8">
        <f t="shared" si="39"/>
        <v>0</v>
      </c>
      <c r="AB89" s="8">
        <f t="shared" si="39"/>
        <v>0</v>
      </c>
      <c r="AC89" s="8">
        <f t="shared" si="39"/>
        <v>0</v>
      </c>
      <c r="AD89" s="16">
        <f t="shared" si="39"/>
        <v>0</v>
      </c>
    </row>
    <row r="90" spans="1:30" x14ac:dyDescent="0.3">
      <c r="H90" s="12">
        <f t="array" ref="H90:J92">P41*MMULT(I20:I22,E24:G24)</f>
        <v>-0.16666666666666671</v>
      </c>
      <c r="I90" s="13">
        <v>0.16666666666666671</v>
      </c>
      <c r="J90" s="14">
        <v>0</v>
      </c>
      <c r="K90">
        <v>1</v>
      </c>
      <c r="L90" s="12">
        <f t="array" ref="L90">$J$88*H90+$K$88*H95</f>
        <v>-6.5461635241562219E-2</v>
      </c>
      <c r="M90" s="13">
        <f t="shared" ref="M90:N92" si="40">$J$88*I90+$K$88*I95</f>
        <v>8.3531754860342158E-2</v>
      </c>
      <c r="N90" s="14">
        <f t="shared" si="40"/>
        <v>-1.8070119618779936E-2</v>
      </c>
      <c r="W90" s="15">
        <f t="shared" si="39"/>
        <v>0</v>
      </c>
      <c r="X90" s="8">
        <f t="shared" si="39"/>
        <v>0</v>
      </c>
      <c r="Y90" s="8">
        <f t="shared" si="39"/>
        <v>0</v>
      </c>
      <c r="Z90" s="8">
        <f t="shared" si="39"/>
        <v>0</v>
      </c>
      <c r="AA90" s="8">
        <f t="shared" si="39"/>
        <v>1.1064189986582802E-2</v>
      </c>
      <c r="AB90" s="8">
        <f t="shared" si="39"/>
        <v>-5.5401553377451458E-3</v>
      </c>
      <c r="AC90" s="8">
        <f t="shared" si="39"/>
        <v>0</v>
      </c>
      <c r="AD90" s="16">
        <f>AD81*$S$4</f>
        <v>-5.5240346488376552E-3</v>
      </c>
    </row>
    <row r="91" spans="1:30" x14ac:dyDescent="0.3">
      <c r="H91" s="15">
        <v>-0.16666666666666666</v>
      </c>
      <c r="I91" s="8">
        <v>0.16666666666666666</v>
      </c>
      <c r="J91" s="16">
        <v>0</v>
      </c>
      <c r="K91">
        <v>2</v>
      </c>
      <c r="L91" s="15">
        <f t="shared" ref="L91:L92" si="41">$J$88*H91+$K$88*H96</f>
        <v>-6.5461635241562205E-2</v>
      </c>
      <c r="M91" s="8">
        <f t="shared" si="40"/>
        <v>8.3531754860342131E-2</v>
      </c>
      <c r="N91" s="16">
        <f t="shared" si="40"/>
        <v>-1.8070119618779929E-2</v>
      </c>
      <c r="W91" s="15">
        <f t="shared" si="39"/>
        <v>0</v>
      </c>
      <c r="X91" s="8">
        <f t="shared" si="39"/>
        <v>0</v>
      </c>
      <c r="Y91" s="8">
        <f t="shared" si="39"/>
        <v>0</v>
      </c>
      <c r="Z91" s="8">
        <f t="shared" si="39"/>
        <v>0</v>
      </c>
      <c r="AA91" s="8">
        <f t="shared" si="39"/>
        <v>-5.5401553377451458E-3</v>
      </c>
      <c r="AB91" s="8">
        <f t="shared" si="39"/>
        <v>1.1080310675490292E-2</v>
      </c>
      <c r="AC91" s="8">
        <f t="shared" si="39"/>
        <v>-5.5401553377451458E-3</v>
      </c>
      <c r="AD91" s="16">
        <f t="shared" si="39"/>
        <v>0</v>
      </c>
    </row>
    <row r="92" spans="1:30" x14ac:dyDescent="0.3">
      <c r="H92" s="17">
        <v>-0.16666666666666666</v>
      </c>
      <c r="I92" s="18">
        <v>0.16666666666666666</v>
      </c>
      <c r="J92" s="19">
        <v>0</v>
      </c>
      <c r="K92">
        <v>3</v>
      </c>
      <c r="L92" s="17">
        <f t="shared" si="41"/>
        <v>-6.5461635241562205E-2</v>
      </c>
      <c r="M92" s="18">
        <f t="shared" si="40"/>
        <v>8.3531754860342131E-2</v>
      </c>
      <c r="N92" s="19">
        <f t="shared" si="40"/>
        <v>-1.8070119618779929E-2</v>
      </c>
      <c r="W92" s="15">
        <f t="shared" si="39"/>
        <v>0</v>
      </c>
      <c r="X92" s="8">
        <f t="shared" si="39"/>
        <v>0</v>
      </c>
      <c r="Y92" s="8">
        <f t="shared" si="39"/>
        <v>0</v>
      </c>
      <c r="Z92" s="8">
        <f t="shared" si="39"/>
        <v>0</v>
      </c>
      <c r="AA92" s="8">
        <f t="shared" si="39"/>
        <v>0</v>
      </c>
      <c r="AB92" s="8">
        <f t="shared" si="39"/>
        <v>-5.5401553377451458E-3</v>
      </c>
      <c r="AC92" s="8">
        <f t="shared" si="39"/>
        <v>1.1064189986582802E-2</v>
      </c>
      <c r="AD92" s="16">
        <f t="shared" si="39"/>
        <v>-5.5240346488376552E-3</v>
      </c>
    </row>
    <row r="93" spans="1:30" x14ac:dyDescent="0.3">
      <c r="W93" s="17">
        <f t="shared" si="39"/>
        <v>0</v>
      </c>
      <c r="X93" s="18">
        <f t="shared" si="39"/>
        <v>0</v>
      </c>
      <c r="Y93" s="18">
        <f t="shared" si="39"/>
        <v>0</v>
      </c>
      <c r="Z93" s="18">
        <f t="shared" si="39"/>
        <v>0</v>
      </c>
      <c r="AA93" s="18">
        <f t="shared" si="39"/>
        <v>-5.5240346488376552E-3</v>
      </c>
      <c r="AB93" s="18">
        <f t="shared" si="39"/>
        <v>0</v>
      </c>
      <c r="AC93" s="18">
        <f t="shared" si="39"/>
        <v>-5.5240346488376552E-3</v>
      </c>
      <c r="AD93" s="19">
        <f t="shared" si="39"/>
        <v>1.104806929767531E-2</v>
      </c>
    </row>
    <row r="94" spans="1:30" x14ac:dyDescent="0.3">
      <c r="H94" t="s">
        <v>40</v>
      </c>
      <c r="L94" s="12">
        <f>L90</f>
        <v>-6.5461635241562219E-2</v>
      </c>
      <c r="M94" s="12">
        <f t="shared" ref="M94:N94" si="42">M90</f>
        <v>8.3531754860342158E-2</v>
      </c>
      <c r="N94" s="12">
        <f t="shared" si="42"/>
        <v>-1.8070119618779936E-2</v>
      </c>
      <c r="O94" s="14">
        <v>0</v>
      </c>
      <c r="Q94" s="12">
        <f>L94+L106</f>
        <v>-8.3925123464948917E-2</v>
      </c>
      <c r="R94" s="12">
        <f t="shared" ref="R94:T97" si="43">M94+M106</f>
        <v>8.3531754860342158E-2</v>
      </c>
      <c r="S94" s="12">
        <f t="shared" si="43"/>
        <v>8.2530045212655986E-2</v>
      </c>
      <c r="T94" s="12">
        <f t="shared" si="43"/>
        <v>-8.2136676608049228E-2</v>
      </c>
    </row>
    <row r="95" spans="1:30" x14ac:dyDescent="0.3">
      <c r="H95" s="12">
        <f t="array" ref="H95:J97">P15*MMULT(I20:I22,E25:G25)</f>
        <v>0</v>
      </c>
      <c r="I95" s="13">
        <v>-0.16666666666666671</v>
      </c>
      <c r="J95" s="14">
        <v>0.16666666666666671</v>
      </c>
      <c r="L95" s="12">
        <f t="shared" ref="L95:N96" si="44">L91</f>
        <v>-6.5461635241562205E-2</v>
      </c>
      <c r="M95" s="12">
        <f t="shared" si="44"/>
        <v>8.3531754860342131E-2</v>
      </c>
      <c r="N95" s="12">
        <f t="shared" si="44"/>
        <v>-1.8070119618779929E-2</v>
      </c>
      <c r="O95" s="16">
        <v>0</v>
      </c>
      <c r="Q95" s="12">
        <f t="shared" ref="Q95:Q97" si="45">L95+L107</f>
        <v>-6.5461635241562205E-2</v>
      </c>
      <c r="R95" s="12">
        <f t="shared" si="43"/>
        <v>8.3531754860342131E-2</v>
      </c>
      <c r="S95" s="12">
        <f t="shared" si="43"/>
        <v>-1.8070119618779929E-2</v>
      </c>
      <c r="T95" s="12">
        <f t="shared" si="43"/>
        <v>0</v>
      </c>
    </row>
    <row r="96" spans="1:30" x14ac:dyDescent="0.3">
      <c r="H96" s="15">
        <v>0</v>
      </c>
      <c r="I96" s="8">
        <v>-0.16666666666666666</v>
      </c>
      <c r="J96" s="16">
        <v>0.16666666666666666</v>
      </c>
      <c r="L96" s="12">
        <f t="shared" si="44"/>
        <v>-6.5461635241562205E-2</v>
      </c>
      <c r="M96" s="12">
        <f t="shared" si="44"/>
        <v>8.3531754860342131E-2</v>
      </c>
      <c r="N96" s="12">
        <f t="shared" si="44"/>
        <v>-1.8070119618779929E-2</v>
      </c>
      <c r="O96" s="16">
        <v>0</v>
      </c>
      <c r="Q96" s="12">
        <f t="shared" si="45"/>
        <v>-8.3925123464948889E-2</v>
      </c>
      <c r="R96" s="12">
        <f t="shared" si="43"/>
        <v>8.3531754860342131E-2</v>
      </c>
      <c r="S96" s="12">
        <f t="shared" si="43"/>
        <v>8.2530045212655959E-2</v>
      </c>
      <c r="T96" s="12">
        <f t="shared" si="43"/>
        <v>-8.21366766080492E-2</v>
      </c>
    </row>
    <row r="97" spans="8:24" x14ac:dyDescent="0.3">
      <c r="H97" s="17">
        <v>0</v>
      </c>
      <c r="I97" s="18">
        <v>-0.16666666666666666</v>
      </c>
      <c r="J97" s="19">
        <v>0.16666666666666666</v>
      </c>
      <c r="L97" s="17">
        <v>0</v>
      </c>
      <c r="M97" s="18">
        <v>0</v>
      </c>
      <c r="N97" s="18">
        <v>0</v>
      </c>
      <c r="O97" s="19">
        <v>0</v>
      </c>
      <c r="Q97" s="12">
        <f t="shared" si="45"/>
        <v>-1.8463488223386688E-2</v>
      </c>
      <c r="R97" s="12">
        <f t="shared" si="43"/>
        <v>0</v>
      </c>
      <c r="S97" s="12">
        <f t="shared" si="43"/>
        <v>0.10060016483143588</v>
      </c>
      <c r="T97" s="12">
        <f t="shared" si="43"/>
        <v>-8.21366766080492E-2</v>
      </c>
    </row>
    <row r="99" spans="8:24" x14ac:dyDescent="0.3">
      <c r="J99" t="s">
        <v>41</v>
      </c>
      <c r="K99" t="s">
        <v>42</v>
      </c>
    </row>
    <row r="100" spans="8:24" x14ac:dyDescent="0.3">
      <c r="H100" t="s">
        <v>44</v>
      </c>
      <c r="J100" s="36">
        <f>(C187+C191+C193)/3</f>
        <v>0.60360098898861536</v>
      </c>
      <c r="K100" s="36">
        <f>(C188+C192+C194)/3</f>
        <v>0.11078092934032013</v>
      </c>
    </row>
    <row r="101" spans="8:24" x14ac:dyDescent="0.3">
      <c r="H101" t="s">
        <v>39</v>
      </c>
      <c r="L101" t="s">
        <v>45</v>
      </c>
      <c r="Q101" t="s">
        <v>56</v>
      </c>
      <c r="R101" t="s">
        <v>51</v>
      </c>
    </row>
    <row r="102" spans="8:24" x14ac:dyDescent="0.3">
      <c r="H102" s="12">
        <f t="array" ref="H102:J104">P41*MMULT(I46:I48,E50:G50)</f>
        <v>0</v>
      </c>
      <c r="I102" s="13">
        <v>0.16666666666666671</v>
      </c>
      <c r="J102" s="14">
        <v>-0.16666666666666671</v>
      </c>
      <c r="K102">
        <v>1</v>
      </c>
      <c r="L102" s="12">
        <f>$J$100*H102+$K$100*H107</f>
        <v>-1.8463488223386695E-2</v>
      </c>
      <c r="M102" s="12">
        <f t="shared" ref="M102:N104" si="46">$J$100*I102+$K$100*I107</f>
        <v>0.10060016483143593</v>
      </c>
      <c r="N102" s="12">
        <f t="shared" si="46"/>
        <v>-8.2136676608049228E-2</v>
      </c>
      <c r="Q102" s="12">
        <f>Q94</f>
        <v>-8.3925123464948917E-2</v>
      </c>
      <c r="R102" s="13">
        <f t="shared" ref="R102:T102" si="47">R94</f>
        <v>8.3531754860342158E-2</v>
      </c>
      <c r="S102" s="13">
        <f t="shared" si="47"/>
        <v>8.2530045212655986E-2</v>
      </c>
      <c r="T102" s="13">
        <f t="shared" si="47"/>
        <v>-8.2136676608049228E-2</v>
      </c>
      <c r="U102" s="13">
        <v>0</v>
      </c>
      <c r="V102" s="13">
        <v>0</v>
      </c>
      <c r="W102" s="13">
        <v>0</v>
      </c>
      <c r="X102" s="14">
        <v>0</v>
      </c>
    </row>
    <row r="103" spans="8:24" x14ac:dyDescent="0.3">
      <c r="H103" s="15">
        <v>0</v>
      </c>
      <c r="I103" s="8">
        <v>0.16666666666666666</v>
      </c>
      <c r="J103" s="16">
        <v>-0.16666666666666666</v>
      </c>
      <c r="K103">
        <v>3</v>
      </c>
      <c r="L103" s="12">
        <f t="shared" ref="L103:L104" si="48">$J$100*H103+$K$100*H108</f>
        <v>-1.8463488223386688E-2</v>
      </c>
      <c r="M103" s="12">
        <f t="shared" si="46"/>
        <v>0.10060016483143588</v>
      </c>
      <c r="N103" s="12">
        <f t="shared" si="46"/>
        <v>-8.21366766080492E-2</v>
      </c>
      <c r="Q103" s="15">
        <f t="shared" ref="Q103:T105" si="49">Q95</f>
        <v>-6.5461635241562205E-2</v>
      </c>
      <c r="R103" s="8">
        <f t="shared" si="49"/>
        <v>8.3531754860342131E-2</v>
      </c>
      <c r="S103" s="8">
        <f t="shared" si="49"/>
        <v>-1.8070119618779929E-2</v>
      </c>
      <c r="T103" s="8">
        <f t="shared" si="49"/>
        <v>0</v>
      </c>
      <c r="U103" s="8">
        <v>0</v>
      </c>
      <c r="V103" s="8">
        <v>0</v>
      </c>
      <c r="W103" s="8">
        <v>0</v>
      </c>
      <c r="X103" s="16">
        <v>0</v>
      </c>
    </row>
    <row r="104" spans="8:24" x14ac:dyDescent="0.3">
      <c r="H104" s="17">
        <v>0</v>
      </c>
      <c r="I104" s="18">
        <v>0.16666666666666666</v>
      </c>
      <c r="J104" s="19">
        <v>-0.16666666666666666</v>
      </c>
      <c r="K104">
        <v>4</v>
      </c>
      <c r="L104" s="12">
        <f t="shared" si="48"/>
        <v>-1.8463488223386688E-2</v>
      </c>
      <c r="M104" s="12">
        <f t="shared" si="46"/>
        <v>0.10060016483143588</v>
      </c>
      <c r="N104" s="12">
        <f t="shared" si="46"/>
        <v>-8.21366766080492E-2</v>
      </c>
      <c r="Q104" s="15">
        <f t="shared" si="49"/>
        <v>-8.3925123464948889E-2</v>
      </c>
      <c r="R104" s="8">
        <f t="shared" si="49"/>
        <v>8.3531754860342131E-2</v>
      </c>
      <c r="S104" s="8">
        <f t="shared" si="49"/>
        <v>8.2530045212655959E-2</v>
      </c>
      <c r="T104" s="8">
        <f t="shared" si="49"/>
        <v>-8.21366766080492E-2</v>
      </c>
      <c r="U104" s="8">
        <v>0</v>
      </c>
      <c r="V104" s="8">
        <v>0</v>
      </c>
      <c r="W104" s="8">
        <v>0</v>
      </c>
      <c r="X104" s="16">
        <v>0</v>
      </c>
    </row>
    <row r="105" spans="8:24" x14ac:dyDescent="0.3">
      <c r="Q105" s="15">
        <f t="shared" si="49"/>
        <v>-1.8463488223386688E-2</v>
      </c>
      <c r="R105" s="8">
        <f t="shared" si="49"/>
        <v>0</v>
      </c>
      <c r="S105" s="8">
        <f t="shared" si="49"/>
        <v>0.10060016483143588</v>
      </c>
      <c r="T105" s="8">
        <f t="shared" si="49"/>
        <v>-8.21366766080492E-2</v>
      </c>
      <c r="U105" s="8">
        <v>0</v>
      </c>
      <c r="V105" s="8">
        <v>0</v>
      </c>
      <c r="W105" s="8">
        <v>0</v>
      </c>
      <c r="X105" s="16">
        <v>0</v>
      </c>
    </row>
    <row r="106" spans="8:24" x14ac:dyDescent="0.3">
      <c r="H106" t="s">
        <v>40</v>
      </c>
      <c r="L106" s="12">
        <f>L102</f>
        <v>-1.8463488223386695E-2</v>
      </c>
      <c r="M106" s="12">
        <v>0</v>
      </c>
      <c r="N106" s="12">
        <f>M102</f>
        <v>0.10060016483143593</v>
      </c>
      <c r="O106" s="12">
        <f>N102</f>
        <v>-8.2136676608049228E-2</v>
      </c>
      <c r="Q106" s="15">
        <v>0</v>
      </c>
      <c r="R106" s="8">
        <v>0</v>
      </c>
      <c r="S106" s="8">
        <v>0</v>
      </c>
      <c r="T106" s="8">
        <v>0</v>
      </c>
      <c r="U106" s="8">
        <f>Q94</f>
        <v>-8.3925123464948917E-2</v>
      </c>
      <c r="V106" s="8">
        <f t="shared" ref="V106:X109" si="50">R94</f>
        <v>8.3531754860342158E-2</v>
      </c>
      <c r="W106" s="8">
        <f t="shared" si="50"/>
        <v>8.2530045212655986E-2</v>
      </c>
      <c r="X106" s="16">
        <f t="shared" si="50"/>
        <v>-8.2136676608049228E-2</v>
      </c>
    </row>
    <row r="107" spans="8:24" x14ac:dyDescent="0.3">
      <c r="H107" s="12">
        <f t="array" ref="H107:J109">P41*MMULT(I46:I48,E51:G51)</f>
        <v>-0.16666666666666671</v>
      </c>
      <c r="I107" s="13">
        <v>0</v>
      </c>
      <c r="J107" s="14">
        <v>0.16666666666666671</v>
      </c>
      <c r="L107" s="12">
        <v>0</v>
      </c>
      <c r="M107" s="12">
        <v>0</v>
      </c>
      <c r="N107" s="12">
        <v>0</v>
      </c>
      <c r="O107" s="16">
        <v>0</v>
      </c>
      <c r="Q107" s="15">
        <v>0</v>
      </c>
      <c r="R107" s="8">
        <v>0</v>
      </c>
      <c r="S107" s="8">
        <v>0</v>
      </c>
      <c r="T107" s="8">
        <v>0</v>
      </c>
      <c r="U107" s="8">
        <f t="shared" ref="U107:U109" si="51">Q95</f>
        <v>-6.5461635241562205E-2</v>
      </c>
      <c r="V107" s="8">
        <f t="shared" si="50"/>
        <v>8.3531754860342131E-2</v>
      </c>
      <c r="W107" s="8">
        <f t="shared" si="50"/>
        <v>-1.8070119618779929E-2</v>
      </c>
      <c r="X107" s="16">
        <f t="shared" si="50"/>
        <v>0</v>
      </c>
    </row>
    <row r="108" spans="8:24" x14ac:dyDescent="0.3">
      <c r="H108" s="15">
        <v>-0.16666666666666666</v>
      </c>
      <c r="I108" s="8">
        <v>0</v>
      </c>
      <c r="J108" s="16">
        <v>0.16666666666666666</v>
      </c>
      <c r="L108" s="12">
        <f>L103</f>
        <v>-1.8463488223386688E-2</v>
      </c>
      <c r="M108" s="12">
        <v>0</v>
      </c>
      <c r="N108" s="12">
        <f>M103</f>
        <v>0.10060016483143588</v>
      </c>
      <c r="O108" s="12">
        <f>N103</f>
        <v>-8.21366766080492E-2</v>
      </c>
      <c r="Q108" s="15">
        <v>0</v>
      </c>
      <c r="R108" s="8">
        <v>0</v>
      </c>
      <c r="S108" s="8">
        <v>0</v>
      </c>
      <c r="T108" s="8">
        <v>0</v>
      </c>
      <c r="U108" s="8">
        <f t="shared" si="51"/>
        <v>-8.3925123464948889E-2</v>
      </c>
      <c r="V108" s="8">
        <f t="shared" si="50"/>
        <v>8.3531754860342131E-2</v>
      </c>
      <c r="W108" s="8">
        <f t="shared" si="50"/>
        <v>8.2530045212655959E-2</v>
      </c>
      <c r="X108" s="16">
        <f t="shared" si="50"/>
        <v>-8.21366766080492E-2</v>
      </c>
    </row>
    <row r="109" spans="8:24" x14ac:dyDescent="0.3">
      <c r="H109" s="17">
        <v>-0.16666666666666666</v>
      </c>
      <c r="I109" s="18">
        <v>0</v>
      </c>
      <c r="J109" s="19">
        <v>0.16666666666666666</v>
      </c>
      <c r="L109" s="12">
        <f>L104</f>
        <v>-1.8463488223386688E-2</v>
      </c>
      <c r="M109" s="18">
        <v>0</v>
      </c>
      <c r="N109" s="12">
        <f>M104</f>
        <v>0.10060016483143588</v>
      </c>
      <c r="O109" s="12">
        <f>N104</f>
        <v>-8.21366766080492E-2</v>
      </c>
      <c r="Q109" s="17">
        <v>0</v>
      </c>
      <c r="R109" s="18">
        <v>0</v>
      </c>
      <c r="S109" s="18">
        <v>0</v>
      </c>
      <c r="T109" s="18">
        <v>0</v>
      </c>
      <c r="U109" s="18">
        <f t="shared" si="51"/>
        <v>-1.8463488223386688E-2</v>
      </c>
      <c r="V109" s="18">
        <v>0</v>
      </c>
      <c r="W109" s="18">
        <f t="shared" si="50"/>
        <v>0.10060016483143588</v>
      </c>
      <c r="X109" s="19">
        <f t="shared" si="50"/>
        <v>-8.21366766080492E-2</v>
      </c>
    </row>
    <row r="113" spans="11:21" x14ac:dyDescent="0.3">
      <c r="K113" t="s">
        <v>50</v>
      </c>
    </row>
    <row r="114" spans="11:21" x14ac:dyDescent="0.3">
      <c r="K114" s="26">
        <v>1</v>
      </c>
      <c r="L114" s="26"/>
      <c r="M114" s="26">
        <v>2</v>
      </c>
      <c r="N114" s="26"/>
      <c r="O114" s="26">
        <v>3</v>
      </c>
    </row>
    <row r="115" spans="11:21" x14ac:dyDescent="0.3">
      <c r="K115">
        <f>O24</f>
        <v>-1</v>
      </c>
      <c r="L115">
        <f>P24</f>
        <v>0</v>
      </c>
      <c r="M115">
        <f>O25</f>
        <v>1</v>
      </c>
      <c r="N115">
        <f>P25</f>
        <v>-1</v>
      </c>
      <c r="O115">
        <f>O26</f>
        <v>0</v>
      </c>
      <c r="P115">
        <f>P26</f>
        <v>1</v>
      </c>
    </row>
    <row r="116" spans="11:21" x14ac:dyDescent="0.3">
      <c r="K116" t="s">
        <v>46</v>
      </c>
    </row>
    <row r="117" spans="11:21" x14ac:dyDescent="0.3">
      <c r="K117" s="21">
        <f t="array" ref="K117">K115*$P$15</f>
        <v>-0.5</v>
      </c>
      <c r="L117" s="24">
        <f t="shared" ref="L117:P117" si="52">L115*$P$15</f>
        <v>0</v>
      </c>
      <c r="M117" s="24">
        <f t="shared" si="52"/>
        <v>0.5</v>
      </c>
      <c r="N117" s="24">
        <f t="shared" si="52"/>
        <v>-0.5</v>
      </c>
      <c r="O117" s="24">
        <f t="shared" si="52"/>
        <v>0</v>
      </c>
      <c r="P117" s="25">
        <f t="shared" si="52"/>
        <v>0.5</v>
      </c>
    </row>
    <row r="119" spans="11:21" x14ac:dyDescent="0.3">
      <c r="K119" s="26">
        <v>1</v>
      </c>
      <c r="L119" s="26"/>
      <c r="M119" s="26">
        <v>3</v>
      </c>
      <c r="N119" s="26"/>
      <c r="O119" s="26">
        <v>4</v>
      </c>
    </row>
    <row r="120" spans="11:21" x14ac:dyDescent="0.3">
      <c r="K120">
        <f>O50</f>
        <v>0</v>
      </c>
      <c r="L120">
        <f>P50</f>
        <v>-1</v>
      </c>
      <c r="M120">
        <f>O51</f>
        <v>1</v>
      </c>
      <c r="N120">
        <f>P51</f>
        <v>0</v>
      </c>
      <c r="O120">
        <f>O52</f>
        <v>-1</v>
      </c>
      <c r="P120">
        <f>P52</f>
        <v>1</v>
      </c>
    </row>
    <row r="121" spans="11:21" x14ac:dyDescent="0.3">
      <c r="K121" t="s">
        <v>47</v>
      </c>
    </row>
    <row r="122" spans="11:21" x14ac:dyDescent="0.3">
      <c r="K122" s="21">
        <f>K120*$P$41</f>
        <v>0</v>
      </c>
      <c r="L122" s="24">
        <f t="shared" ref="L122:P122" si="53">L120*$P$41</f>
        <v>-0.5</v>
      </c>
      <c r="M122" s="24">
        <f t="shared" si="53"/>
        <v>0.5</v>
      </c>
      <c r="N122" s="24">
        <f t="shared" si="53"/>
        <v>0</v>
      </c>
      <c r="O122" s="24">
        <f t="shared" si="53"/>
        <v>-0.5</v>
      </c>
      <c r="P122" s="25">
        <f t="shared" si="53"/>
        <v>0.5</v>
      </c>
    </row>
    <row r="124" spans="11:21" x14ac:dyDescent="0.3">
      <c r="K124" t="s">
        <v>48</v>
      </c>
      <c r="L124" t="s">
        <v>49</v>
      </c>
      <c r="T124" t="s">
        <v>23</v>
      </c>
    </row>
    <row r="125" spans="11:21" x14ac:dyDescent="0.3">
      <c r="K125" s="12">
        <f>K117</f>
        <v>-0.5</v>
      </c>
      <c r="L125" s="12">
        <f t="shared" ref="L125:P125" si="54">L117</f>
        <v>0</v>
      </c>
      <c r="M125" s="12">
        <f t="shared" si="54"/>
        <v>0.5</v>
      </c>
      <c r="N125" s="12">
        <f t="shared" si="54"/>
        <v>-0.5</v>
      </c>
      <c r="O125" s="12">
        <f t="shared" si="54"/>
        <v>0</v>
      </c>
      <c r="P125" s="12">
        <f t="shared" si="54"/>
        <v>0.5</v>
      </c>
      <c r="Q125" s="27">
        <v>0</v>
      </c>
      <c r="R125" s="28">
        <v>0</v>
      </c>
      <c r="T125" s="12">
        <f t="array" ref="T125:U132">TRANSPOSE(K125:R126)</f>
        <v>-0.5</v>
      </c>
      <c r="U125" s="14">
        <v>0</v>
      </c>
    </row>
    <row r="126" spans="11:21" x14ac:dyDescent="0.3">
      <c r="K126" s="17">
        <f>K122</f>
        <v>0</v>
      </c>
      <c r="L126" s="17">
        <f>L122</f>
        <v>-0.5</v>
      </c>
      <c r="M126" s="29">
        <v>0</v>
      </c>
      <c r="N126" s="29">
        <v>0</v>
      </c>
      <c r="O126" s="18">
        <f>M122</f>
        <v>0.5</v>
      </c>
      <c r="P126" s="18">
        <f t="shared" ref="P126:R126" si="55">N122</f>
        <v>0</v>
      </c>
      <c r="Q126" s="18">
        <f t="shared" si="55"/>
        <v>-0.5</v>
      </c>
      <c r="R126" s="18">
        <f t="shared" si="55"/>
        <v>0.5</v>
      </c>
      <c r="T126" s="15">
        <v>0</v>
      </c>
      <c r="U126" s="16">
        <v>-0.5</v>
      </c>
    </row>
    <row r="127" spans="11:21" x14ac:dyDescent="0.3">
      <c r="T127" s="15">
        <v>0.5</v>
      </c>
      <c r="U127" s="16">
        <v>0</v>
      </c>
    </row>
    <row r="128" spans="11:21" x14ac:dyDescent="0.3">
      <c r="T128" s="15">
        <v>-0.5</v>
      </c>
      <c r="U128" s="16">
        <v>0</v>
      </c>
    </row>
    <row r="129" spans="20:21" x14ac:dyDescent="0.3">
      <c r="T129" s="15">
        <v>0</v>
      </c>
      <c r="U129" s="16">
        <v>0.5</v>
      </c>
    </row>
    <row r="130" spans="20:21" x14ac:dyDescent="0.3">
      <c r="T130" s="15">
        <v>0.5</v>
      </c>
      <c r="U130" s="16">
        <v>0</v>
      </c>
    </row>
    <row r="131" spans="20:21" x14ac:dyDescent="0.3">
      <c r="T131" s="15">
        <v>0</v>
      </c>
      <c r="U131" s="16">
        <v>-0.5</v>
      </c>
    </row>
    <row r="132" spans="20:21" x14ac:dyDescent="0.3">
      <c r="T132" s="17">
        <v>0</v>
      </c>
      <c r="U132" s="19">
        <v>0.5</v>
      </c>
    </row>
    <row r="167" spans="11:18" x14ac:dyDescent="0.3">
      <c r="K167" t="s">
        <v>58</v>
      </c>
      <c r="L167" t="s">
        <v>59</v>
      </c>
    </row>
    <row r="168" spans="11:18" x14ac:dyDescent="0.3">
      <c r="K168" t="s">
        <v>61</v>
      </c>
      <c r="N168" t="s">
        <v>58</v>
      </c>
      <c r="Q168" t="s">
        <v>28</v>
      </c>
    </row>
    <row r="169" spans="11:18" x14ac:dyDescent="0.3">
      <c r="K169" s="12">
        <f t="array" ref="K169:L176">MMULT(AL73:AS80,T125:U132)</f>
        <v>-1.4999999999999993</v>
      </c>
      <c r="L169" s="14">
        <v>0</v>
      </c>
      <c r="N169" s="30">
        <f t="array" ref="N169:O170">MMULT(K125:R126,K169:L176)</f>
        <v>4.4999999999999991</v>
      </c>
      <c r="O169" s="31">
        <v>0</v>
      </c>
      <c r="Q169">
        <f t="array" ref="Q169:R170">MINVERSE(N169:O170)</f>
        <v>0.22222222222222227</v>
      </c>
      <c r="R169">
        <v>0</v>
      </c>
    </row>
    <row r="170" spans="11:18" x14ac:dyDescent="0.3">
      <c r="K170" s="15">
        <v>0</v>
      </c>
      <c r="L170" s="16">
        <v>-2.9999999999999996</v>
      </c>
      <c r="N170" s="32">
        <v>0</v>
      </c>
      <c r="O170" s="33">
        <v>4.4999999999999991</v>
      </c>
      <c r="Q170">
        <v>0</v>
      </c>
      <c r="R170">
        <v>0.22222222222222227</v>
      </c>
    </row>
    <row r="171" spans="11:18" x14ac:dyDescent="0.3">
      <c r="K171" s="15">
        <v>1.4999999999999998</v>
      </c>
      <c r="L171" s="16">
        <v>0</v>
      </c>
    </row>
    <row r="172" spans="11:18" x14ac:dyDescent="0.3">
      <c r="K172" s="15">
        <v>-2.9999999999999996</v>
      </c>
      <c r="L172" s="16">
        <v>0</v>
      </c>
    </row>
    <row r="173" spans="11:18" x14ac:dyDescent="0.3">
      <c r="K173" s="15">
        <v>0</v>
      </c>
      <c r="L173" s="16">
        <v>1.4999999999999993</v>
      </c>
    </row>
    <row r="174" spans="11:18" x14ac:dyDescent="0.3">
      <c r="K174" s="15">
        <v>2.9999999999999996</v>
      </c>
      <c r="L174" s="16">
        <v>0</v>
      </c>
    </row>
    <row r="175" spans="11:18" x14ac:dyDescent="0.3">
      <c r="K175" s="15">
        <v>0</v>
      </c>
      <c r="L175" s="16">
        <v>-1.4999999999999998</v>
      </c>
    </row>
    <row r="176" spans="11:18" x14ac:dyDescent="0.3">
      <c r="K176" s="17">
        <v>0</v>
      </c>
      <c r="L176" s="19">
        <v>2.9999999999999996</v>
      </c>
    </row>
    <row r="187" spans="1:7" x14ac:dyDescent="0.3">
      <c r="A187" t="s">
        <v>62</v>
      </c>
      <c r="B187" t="s">
        <v>77</v>
      </c>
      <c r="C187" s="20">
        <f>'2 шаг '!N238</f>
        <v>0.84204362407274114</v>
      </c>
      <c r="D187" t="s">
        <v>1</v>
      </c>
      <c r="E187" s="11">
        <f>S3</f>
        <v>0.03</v>
      </c>
      <c r="F187" t="s">
        <v>63</v>
      </c>
      <c r="G187" s="20">
        <f>'для 2 треугольников'!G187</f>
        <v>0</v>
      </c>
    </row>
    <row r="188" spans="1:7" x14ac:dyDescent="0.3">
      <c r="B188" t="s">
        <v>78</v>
      </c>
      <c r="C188" s="20">
        <f>'2 шаг '!N239</f>
        <v>-0.32348717302906244</v>
      </c>
      <c r="G188" s="20">
        <f>'для 2 треугольников'!G188</f>
        <v>0</v>
      </c>
    </row>
    <row r="189" spans="1:7" x14ac:dyDescent="0.3">
      <c r="B189" t="s">
        <v>79</v>
      </c>
      <c r="C189" s="20">
        <f>'2 шаг '!N240</f>
        <v>0.17530339316990332</v>
      </c>
      <c r="G189" s="20">
        <f>'для 2 треугольников'!G189</f>
        <v>0</v>
      </c>
    </row>
    <row r="190" spans="1:7" x14ac:dyDescent="0.3">
      <c r="B190" t="s">
        <v>80</v>
      </c>
      <c r="C190" s="20">
        <f>'2 шаг '!N241</f>
        <v>-0.33425760550590711</v>
      </c>
      <c r="G190" s="20">
        <f>'для 2 треугольников'!G190</f>
        <v>0</v>
      </c>
    </row>
    <row r="191" spans="1:7" x14ac:dyDescent="0.3">
      <c r="B191" t="s">
        <v>81</v>
      </c>
      <c r="C191" s="20">
        <f>'2 шаг '!N242</f>
        <v>0.16096241710547521</v>
      </c>
      <c r="G191" s="20">
        <f>'для 2 треугольников'!G191</f>
        <v>0</v>
      </c>
    </row>
    <row r="192" spans="1:7" x14ac:dyDescent="0.3">
      <c r="B192" t="s">
        <v>82</v>
      </c>
      <c r="C192" s="20">
        <f>'2 шаг '!N243</f>
        <v>0.33248262539693074</v>
      </c>
      <c r="G192" s="20">
        <f>'для 2 треугольников'!G192</f>
        <v>0</v>
      </c>
    </row>
    <row r="193" spans="2:15" x14ac:dyDescent="0.3">
      <c r="B193" t="s">
        <v>83</v>
      </c>
      <c r="C193" s="20">
        <f>'2 шаг '!N244</f>
        <v>0.80779692578762963</v>
      </c>
      <c r="G193" s="20">
        <f>'для 2 треугольников'!G193</f>
        <v>0</v>
      </c>
    </row>
    <row r="194" spans="2:15" x14ac:dyDescent="0.3">
      <c r="B194" t="s">
        <v>84</v>
      </c>
      <c r="C194" s="20">
        <f>'2 шаг '!N245</f>
        <v>0.32334733565309209</v>
      </c>
      <c r="G194" s="20">
        <f>'для 2 треугольников'!G194</f>
        <v>0</v>
      </c>
    </row>
    <row r="195" spans="2:15" x14ac:dyDescent="0.3">
      <c r="C195" t="s">
        <v>64</v>
      </c>
    </row>
    <row r="196" spans="2:15" x14ac:dyDescent="0.3">
      <c r="I196" t="s">
        <v>65</v>
      </c>
      <c r="K196" t="s">
        <v>66</v>
      </c>
      <c r="M196" t="s">
        <v>67</v>
      </c>
      <c r="O196" t="s">
        <v>68</v>
      </c>
    </row>
    <row r="197" spans="2:15" x14ac:dyDescent="0.3">
      <c r="I197" s="20">
        <f t="array" ref="I197:I204">MMULT(Q102:X109,C187:C194)</f>
        <v>-5.5767460539642849E-2</v>
      </c>
      <c r="K197" s="20">
        <f>I197*(-1)</f>
        <v>5.5767460539642849E-2</v>
      </c>
      <c r="M197" s="20">
        <f t="array" ref="M197:M204">(-1)*$S$4*MMULT(W77:AD84,C187:C194)</f>
        <v>-1.2955150416532703E-2</v>
      </c>
      <c r="O197" s="20">
        <f>K197+M197+G187</f>
        <v>4.2812310123110146E-2</v>
      </c>
    </row>
    <row r="198" spans="2:15" x14ac:dyDescent="0.3">
      <c r="I198" s="34">
        <v>-8.5310757098619794E-2</v>
      </c>
      <c r="K198" s="34">
        <f t="shared" ref="K198:K204" si="56">I198*(-1)</f>
        <v>8.5310757098619794E-2</v>
      </c>
      <c r="M198" s="34">
        <v>9.2205988846140348E-3</v>
      </c>
      <c r="O198" s="34">
        <f t="shared" ref="O198:O204" si="57">K198+M198+G188</f>
        <v>9.4531355983233825E-2</v>
      </c>
    </row>
    <row r="199" spans="2:15" x14ac:dyDescent="0.3">
      <c r="I199" s="34">
        <v>-5.5767460539642828E-2</v>
      </c>
      <c r="K199" s="34">
        <f t="shared" si="56"/>
        <v>5.5767460539642828E-2</v>
      </c>
      <c r="M199" s="34">
        <v>-5.5782098301256182E-3</v>
      </c>
      <c r="O199" s="34">
        <f t="shared" si="57"/>
        <v>5.0189250709517214E-2</v>
      </c>
    </row>
    <row r="200" spans="2:15" x14ac:dyDescent="0.3">
      <c r="I200" s="34">
        <v>2.9543296558976959E-2</v>
      </c>
      <c r="K200" s="34">
        <f t="shared" si="56"/>
        <v>-2.9543296558976959E-2</v>
      </c>
      <c r="M200" s="34">
        <v>9.3127613620442862E-3</v>
      </c>
      <c r="O200" s="34">
        <f t="shared" si="57"/>
        <v>-2.0230535196932672E-2</v>
      </c>
    </row>
    <row r="201" spans="2:15" x14ac:dyDescent="0.3">
      <c r="I201" s="34">
        <v>5.4372907698470994E-2</v>
      </c>
      <c r="K201" s="34">
        <f t="shared" si="56"/>
        <v>-5.4372907698470994E-2</v>
      </c>
      <c r="M201" s="34">
        <v>1.8472685140027826E-3</v>
      </c>
      <c r="O201" s="34">
        <f t="shared" si="57"/>
        <v>-5.2525639184468211E-2</v>
      </c>
    </row>
    <row r="202" spans="2:15" x14ac:dyDescent="0.3">
      <c r="I202" s="34">
        <v>2.6390070471554086E-3</v>
      </c>
      <c r="K202" s="34">
        <f t="shared" si="56"/>
        <v>-2.6390070471554086E-3</v>
      </c>
      <c r="M202" s="34">
        <v>1.6830664609190631E-3</v>
      </c>
      <c r="O202" s="34">
        <f t="shared" si="57"/>
        <v>-9.5594058623634545E-4</v>
      </c>
    </row>
    <row r="203" spans="2:15" x14ac:dyDescent="0.3">
      <c r="I203" s="34">
        <v>5.4372907698470974E-2</v>
      </c>
      <c r="K203" s="34">
        <f t="shared" si="56"/>
        <v>-5.4372907698470974E-2</v>
      </c>
      <c r="M203" s="34">
        <v>-5.3094313799345169E-3</v>
      </c>
      <c r="O203" s="34">
        <f t="shared" si="57"/>
        <v>-5.9682339078405491E-2</v>
      </c>
    </row>
    <row r="204" spans="2:15" x14ac:dyDescent="0.3">
      <c r="I204" s="35">
        <v>5.1733900651315556E-2</v>
      </c>
      <c r="K204" s="35">
        <f t="shared" si="56"/>
        <v>-5.1733900651315556E-2</v>
      </c>
      <c r="M204" s="35">
        <v>1.7790964050126694E-3</v>
      </c>
      <c r="O204" s="35">
        <f t="shared" si="57"/>
        <v>-4.9954804246302886E-2</v>
      </c>
    </row>
    <row r="207" spans="2:15" x14ac:dyDescent="0.3">
      <c r="I207" t="s">
        <v>69</v>
      </c>
      <c r="K207" t="s">
        <v>70</v>
      </c>
      <c r="M207" t="s">
        <v>71</v>
      </c>
    </row>
    <row r="208" spans="2:15" x14ac:dyDescent="0.3">
      <c r="I208">
        <f t="array" ref="I208:I215">MMULT(AL73:AS80,O197:O204)</f>
        <v>0.12843693036933038</v>
      </c>
      <c r="K208">
        <f t="array" ref="K208">$E$187*I208</f>
        <v>3.8531079110799113E-3</v>
      </c>
      <c r="M208" s="20">
        <f>C187+K208</f>
        <v>0.84589673198382109</v>
      </c>
    </row>
    <row r="209" spans="8:13" x14ac:dyDescent="0.3">
      <c r="I209">
        <v>0.56718813589940287</v>
      </c>
      <c r="K209">
        <f t="shared" ref="K209:K215" si="58">$E$187*I209</f>
        <v>1.7015644076982084E-2</v>
      </c>
      <c r="M209" s="34">
        <f t="shared" ref="M209:M215" si="59">C188+K209</f>
        <v>-0.30647152895208035</v>
      </c>
    </row>
    <row r="210" spans="8:13" x14ac:dyDescent="0.3">
      <c r="I210">
        <v>0.15056775212855161</v>
      </c>
      <c r="K210">
        <f t="shared" si="58"/>
        <v>4.5170325638565481E-3</v>
      </c>
      <c r="M210" s="34">
        <f t="shared" si="59"/>
        <v>0.17982042573375986</v>
      </c>
    </row>
    <row r="211" spans="8:13" x14ac:dyDescent="0.3">
      <c r="I211">
        <v>-0.12138321118159602</v>
      </c>
      <c r="K211">
        <f t="shared" si="58"/>
        <v>-3.6414963354478806E-3</v>
      </c>
      <c r="M211" s="34">
        <f t="shared" si="59"/>
        <v>-0.33789910184135497</v>
      </c>
    </row>
    <row r="212" spans="8:13" x14ac:dyDescent="0.3">
      <c r="I212">
        <v>-0.15757691755340456</v>
      </c>
      <c r="K212">
        <f t="shared" si="58"/>
        <v>-4.7273075266021361E-3</v>
      </c>
      <c r="M212" s="34">
        <f t="shared" si="59"/>
        <v>0.15623510957887307</v>
      </c>
    </row>
    <row r="213" spans="8:13" x14ac:dyDescent="0.3">
      <c r="I213">
        <v>-5.7356435174180723E-3</v>
      </c>
      <c r="K213">
        <f t="shared" si="58"/>
        <v>-1.7206930552254217E-4</v>
      </c>
      <c r="M213" s="34">
        <f t="shared" si="59"/>
        <v>0.33231055609140819</v>
      </c>
    </row>
    <row r="214" spans="8:13" x14ac:dyDescent="0.3">
      <c r="I214">
        <v>-0.17904701723521646</v>
      </c>
      <c r="K214">
        <f t="shared" si="58"/>
        <v>-5.3714105170564932E-3</v>
      </c>
      <c r="M214" s="34">
        <f t="shared" si="59"/>
        <v>0.80242551527057315</v>
      </c>
    </row>
    <row r="215" spans="8:13" x14ac:dyDescent="0.3">
      <c r="I215">
        <v>-0.29972882547781726</v>
      </c>
      <c r="K215">
        <f t="shared" si="58"/>
        <v>-8.991864764334518E-3</v>
      </c>
      <c r="M215" s="35">
        <f t="shared" si="59"/>
        <v>0.31435547088875759</v>
      </c>
    </row>
    <row r="218" spans="8:13" x14ac:dyDescent="0.3">
      <c r="I218" t="s">
        <v>72</v>
      </c>
    </row>
    <row r="219" spans="8:13" x14ac:dyDescent="0.3">
      <c r="I219">
        <f t="array" ref="I219:I220">MMULT(K125:R126,M208:M215)</f>
        <v>2.0666758413509789E-3</v>
      </c>
    </row>
    <row r="220" spans="8:13" x14ac:dyDescent="0.3">
      <c r="I220">
        <v>-1.2681702925431082E-2</v>
      </c>
    </row>
    <row r="224" spans="8:13" x14ac:dyDescent="0.3">
      <c r="H224" t="s">
        <v>73</v>
      </c>
    </row>
    <row r="225" spans="8:18" x14ac:dyDescent="0.3">
      <c r="H225">
        <f t="array" ref="H225:H226">MMULT(Q169:R170,I219:I220)/$E$187</f>
        <v>1.5308709935933182E-2</v>
      </c>
      <c r="J225" s="40" t="s">
        <v>111</v>
      </c>
      <c r="M225">
        <f>H225+(7.5-($H$225+$H$226)/2)</f>
        <v>7.5546236250621561</v>
      </c>
    </row>
    <row r="226" spans="8:18" x14ac:dyDescent="0.3">
      <c r="H226">
        <v>-9.3938540188378397E-2</v>
      </c>
      <c r="J226" s="40" t="s">
        <v>112</v>
      </c>
      <c r="M226">
        <f>H226+(7.5-($H$225+$H$226)/2)</f>
        <v>7.4453763749378448</v>
      </c>
    </row>
    <row r="237" spans="8:18" x14ac:dyDescent="0.3">
      <c r="J237" t="s">
        <v>74</v>
      </c>
      <c r="L237" t="s">
        <v>75</v>
      </c>
      <c r="N237" t="s">
        <v>76</v>
      </c>
      <c r="P237" s="38" t="s">
        <v>113</v>
      </c>
    </row>
    <row r="238" spans="8:18" x14ac:dyDescent="0.3">
      <c r="J238" s="20">
        <f t="array" ref="J238:J245">MMULT(T125:U132,H225:H226)</f>
        <v>-7.6543549679665909E-3</v>
      </c>
      <c r="L238" s="20">
        <f t="array" ref="L238:L245">MMULT(AL73:AS80,J238:J245)</f>
        <v>-2.2963064903899762E-2</v>
      </c>
      <c r="N238">
        <f>M208-$E$187*L238</f>
        <v>0.84658562393093806</v>
      </c>
      <c r="P238">
        <f>N238-'2 шаг '!N238</f>
        <v>4.5419998581969212E-3</v>
      </c>
      <c r="Q238">
        <f>ABS(P238)</f>
        <v>4.5419998581969212E-3</v>
      </c>
      <c r="R238">
        <f>MAX(Q238:Q245)</f>
        <v>9.5986448255335199E-3</v>
      </c>
    </row>
    <row r="239" spans="8:18" x14ac:dyDescent="0.3">
      <c r="J239" s="34">
        <v>4.6969270094189199E-2</v>
      </c>
      <c r="L239" s="34">
        <v>0.28181562056513515</v>
      </c>
      <c r="N239">
        <f t="shared" ref="N239:N245" si="60">M209-$E$187*L239</f>
        <v>-0.31492599756903439</v>
      </c>
      <c r="P239">
        <f>N239-'2 шаг '!N239</f>
        <v>8.5611754600280476E-3</v>
      </c>
      <c r="Q239">
        <f t="shared" ref="Q239:Q245" si="61">ABS(P239)</f>
        <v>8.5611754600280476E-3</v>
      </c>
    </row>
    <row r="240" spans="8:18" x14ac:dyDescent="0.3">
      <c r="J240" s="34">
        <v>7.6543549679665909E-3</v>
      </c>
      <c r="L240" s="34">
        <v>2.2963064903899769E-2</v>
      </c>
      <c r="N240">
        <f t="shared" si="60"/>
        <v>0.17913153378664287</v>
      </c>
      <c r="P240">
        <f>N240-'2 шаг '!N240</f>
        <v>3.828140616739556E-3</v>
      </c>
      <c r="Q240">
        <f t="shared" si="61"/>
        <v>3.828140616739556E-3</v>
      </c>
    </row>
    <row r="241" spans="2:17" x14ac:dyDescent="0.3">
      <c r="J241" s="34">
        <v>-7.6543549679665909E-3</v>
      </c>
      <c r="L241" s="34">
        <v>-4.5926129807799539E-2</v>
      </c>
      <c r="N241">
        <f t="shared" si="60"/>
        <v>-0.33652131794712098</v>
      </c>
      <c r="P241">
        <f>N241-'2 шаг '!N241</f>
        <v>-2.2637124412138721E-3</v>
      </c>
      <c r="Q241">
        <f t="shared" si="61"/>
        <v>2.2637124412138721E-3</v>
      </c>
    </row>
    <row r="242" spans="2:17" x14ac:dyDescent="0.3">
      <c r="J242" s="34">
        <v>-4.6969270094189199E-2</v>
      </c>
      <c r="L242" s="34">
        <v>-0.14090781028256752</v>
      </c>
      <c r="N242">
        <f t="shared" si="60"/>
        <v>0.16046234388735009</v>
      </c>
      <c r="P242">
        <f>N242-'2 шаг '!N242</f>
        <v>-5.0007321812511885E-4</v>
      </c>
      <c r="Q242">
        <f t="shared" si="61"/>
        <v>5.0007321812511885E-4</v>
      </c>
    </row>
    <row r="243" spans="2:17" x14ac:dyDescent="0.3">
      <c r="J243" s="34">
        <v>7.6543549679665909E-3</v>
      </c>
      <c r="L243" s="34">
        <v>4.5926129807799539E-2</v>
      </c>
      <c r="N243">
        <f t="shared" si="60"/>
        <v>0.33093277219717421</v>
      </c>
      <c r="P243">
        <f>N243-'2 шаг '!N243</f>
        <v>-1.5498531997565346E-3</v>
      </c>
      <c r="Q243">
        <f t="shared" si="61"/>
        <v>1.5498531997565346E-3</v>
      </c>
    </row>
    <row r="244" spans="2:17" x14ac:dyDescent="0.3">
      <c r="J244" s="34">
        <v>4.6969270094189199E-2</v>
      </c>
      <c r="L244" s="34">
        <v>0.14090781028256757</v>
      </c>
      <c r="N244">
        <f t="shared" si="60"/>
        <v>0.79819828096209611</v>
      </c>
      <c r="P244">
        <f>N244-'2 шаг '!N244</f>
        <v>-9.5986448255335199E-3</v>
      </c>
      <c r="Q244">
        <f t="shared" si="61"/>
        <v>9.5986448255335199E-3</v>
      </c>
    </row>
    <row r="245" spans="2:17" x14ac:dyDescent="0.3">
      <c r="J245" s="35">
        <v>-4.6969270094189199E-2</v>
      </c>
      <c r="L245" s="35">
        <v>-0.28181562056513515</v>
      </c>
      <c r="N245">
        <f t="shared" si="60"/>
        <v>0.32280993950571163</v>
      </c>
      <c r="P245">
        <f>N245-'2 шаг '!N245</f>
        <v>-5.3739614738046448E-4</v>
      </c>
      <c r="Q245">
        <f t="shared" si="61"/>
        <v>5.3739614738046448E-4</v>
      </c>
    </row>
    <row r="248" spans="2:17" x14ac:dyDescent="0.3">
      <c r="B248" t="s">
        <v>94</v>
      </c>
    </row>
    <row r="272" spans="8:10" x14ac:dyDescent="0.3">
      <c r="H272" t="s">
        <v>95</v>
      </c>
      <c r="J272" t="s">
        <v>96</v>
      </c>
    </row>
    <row r="273" spans="7:10" x14ac:dyDescent="0.3">
      <c r="G273" t="s">
        <v>97</v>
      </c>
      <c r="H273" s="20">
        <f>E24*C187+F24*C189+G24*C191</f>
        <v>-0.66674023090283785</v>
      </c>
      <c r="J273" s="20">
        <f>E50*C187+F50*C191+G50*C193</f>
        <v>-0.64683450868215442</v>
      </c>
    </row>
    <row r="274" spans="7:10" x14ac:dyDescent="0.3">
      <c r="G274" t="s">
        <v>98</v>
      </c>
      <c r="H274" s="34">
        <f>E25*C187+F25*C189+G25*C191</f>
        <v>-1.4340976064428107E-2</v>
      </c>
      <c r="J274" s="34">
        <f>E51*C187+F51*C191+G51*C193</f>
        <v>-3.424669828511151E-2</v>
      </c>
    </row>
    <row r="275" spans="7:10" x14ac:dyDescent="0.3">
      <c r="G275" t="s">
        <v>99</v>
      </c>
      <c r="H275" s="34">
        <f>E24*C188+F24*C190+G24*C192</f>
        <v>-1.0770432476844671E-2</v>
      </c>
      <c r="J275" s="34">
        <f>E50*C188+F50*C192+G50*C194</f>
        <v>9.1352897438386482E-3</v>
      </c>
    </row>
    <row r="276" spans="7:10" x14ac:dyDescent="0.3">
      <c r="G276" t="s">
        <v>100</v>
      </c>
      <c r="H276" s="34">
        <f>E25*C188+F25*C190+G25*C192</f>
        <v>0.66674023090283785</v>
      </c>
      <c r="J276" s="34">
        <f>E51*C188+F51*C192+G51*C194</f>
        <v>0.64683450868215453</v>
      </c>
    </row>
    <row r="284" spans="7:10" x14ac:dyDescent="0.3">
      <c r="H284" t="s">
        <v>101</v>
      </c>
    </row>
    <row r="285" spans="7:10" x14ac:dyDescent="0.3">
      <c r="H285">
        <f>(2*H273^2+2*H276^2+(H274+H275)^2)^0.5</f>
        <v>1.333716883321346</v>
      </c>
      <c r="J285">
        <f>(2*J273^2+2*J276^2+(J274+J275)^2)^0.5</f>
        <v>1.293912713179395</v>
      </c>
    </row>
    <row r="287" spans="7:10" ht="20.399999999999999" x14ac:dyDescent="0.3">
      <c r="G287" s="37" t="s">
        <v>102</v>
      </c>
      <c r="H287">
        <f>(G11+G12+G13)/3</f>
        <v>0.33333333333333331</v>
      </c>
      <c r="J287">
        <f>(G37+G38+G39)/3</f>
        <v>0.66666666666666663</v>
      </c>
    </row>
    <row r="288" spans="7:10" ht="20.399999999999999" x14ac:dyDescent="0.3">
      <c r="G288" s="39" t="s">
        <v>103</v>
      </c>
      <c r="H288">
        <f>1</f>
        <v>1</v>
      </c>
      <c r="J288">
        <f>1</f>
        <v>1</v>
      </c>
    </row>
    <row r="289" spans="7:10" x14ac:dyDescent="0.3">
      <c r="G289" t="s">
        <v>104</v>
      </c>
      <c r="H289">
        <f>MIN(0.4*H287,0.09*H288)</f>
        <v>0.09</v>
      </c>
      <c r="J289">
        <f>MIN(0.4*J287,0.09*J288)</f>
        <v>0.09</v>
      </c>
    </row>
    <row r="290" spans="7:10" x14ac:dyDescent="0.3">
      <c r="G290" t="s">
        <v>105</v>
      </c>
      <c r="H290">
        <f>H289^2</f>
        <v>8.0999999999999996E-3</v>
      </c>
      <c r="J290">
        <f>J289^2</f>
        <v>8.0999999999999996E-3</v>
      </c>
    </row>
    <row r="291" spans="7:10" x14ac:dyDescent="0.3">
      <c r="G291" s="38" t="s">
        <v>106</v>
      </c>
      <c r="H291">
        <f>$S$2*H290*H285</f>
        <v>1.0803106754902902E-2</v>
      </c>
      <c r="J291">
        <f>$S$2*J290*J285</f>
        <v>1.04806929767531E-2</v>
      </c>
    </row>
    <row r="294" spans="7:10" x14ac:dyDescent="0.3">
      <c r="G294" t="s">
        <v>107</v>
      </c>
      <c r="H294">
        <f>$S$4+H291</f>
        <v>0.1108031067549029</v>
      </c>
      <c r="J294">
        <f>$S$4+J291</f>
        <v>0.1104806929767531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2:AS294"/>
  <sheetViews>
    <sheetView topLeftCell="A218" workbookViewId="0">
      <selection activeCell="R238" sqref="R238"/>
    </sheetView>
  </sheetViews>
  <sheetFormatPr defaultRowHeight="14.4" x14ac:dyDescent="0.3"/>
  <cols>
    <col min="8" max="8" width="12.6640625" bestFit="1" customWidth="1"/>
    <col min="9" max="9" width="11.109375" customWidth="1"/>
    <col min="10" max="10" width="12.6640625" bestFit="1" customWidth="1"/>
    <col min="12" max="12" width="12.6640625" bestFit="1" customWidth="1"/>
  </cols>
  <sheetData>
    <row r="2" spans="2:22" x14ac:dyDescent="0.3">
      <c r="R2" t="s">
        <v>0</v>
      </c>
      <c r="S2">
        <v>1</v>
      </c>
    </row>
    <row r="3" spans="2:22" x14ac:dyDescent="0.3">
      <c r="R3" t="s">
        <v>1</v>
      </c>
      <c r="S3">
        <v>0.03</v>
      </c>
    </row>
    <row r="4" spans="2:22" x14ac:dyDescent="0.3">
      <c r="D4" t="s">
        <v>4</v>
      </c>
      <c r="E4" t="s">
        <v>5</v>
      </c>
      <c r="R4" t="s">
        <v>2</v>
      </c>
      <c r="S4">
        <v>0.1</v>
      </c>
      <c r="U4" t="s">
        <v>3</v>
      </c>
    </row>
    <row r="5" spans="2:22" x14ac:dyDescent="0.3">
      <c r="C5">
        <v>1</v>
      </c>
      <c r="D5" s="12">
        <v>0</v>
      </c>
      <c r="E5" s="14">
        <v>0</v>
      </c>
    </row>
    <row r="6" spans="2:22" x14ac:dyDescent="0.3">
      <c r="C6">
        <v>2</v>
      </c>
      <c r="D6" s="15">
        <v>1</v>
      </c>
      <c r="E6" s="16">
        <v>0</v>
      </c>
    </row>
    <row r="7" spans="2:22" x14ac:dyDescent="0.3">
      <c r="C7">
        <v>3</v>
      </c>
      <c r="D7" s="15">
        <v>1</v>
      </c>
      <c r="E7" s="16">
        <v>1</v>
      </c>
    </row>
    <row r="8" spans="2:22" x14ac:dyDescent="0.3">
      <c r="C8">
        <v>4</v>
      </c>
      <c r="D8" s="17">
        <v>0</v>
      </c>
      <c r="E8" s="19">
        <v>1</v>
      </c>
    </row>
    <row r="10" spans="2:22" x14ac:dyDescent="0.3">
      <c r="B10" t="s">
        <v>32</v>
      </c>
      <c r="F10" t="s">
        <v>4</v>
      </c>
      <c r="G10" t="s">
        <v>5</v>
      </c>
    </row>
    <row r="11" spans="2:22" x14ac:dyDescent="0.3">
      <c r="E11">
        <v>1</v>
      </c>
      <c r="F11" s="12">
        <f t="shared" ref="F11:G13" si="0">D5</f>
        <v>0</v>
      </c>
      <c r="G11" s="14">
        <f t="shared" si="0"/>
        <v>0</v>
      </c>
    </row>
    <row r="12" spans="2:22" x14ac:dyDescent="0.3">
      <c r="B12" t="s">
        <v>6</v>
      </c>
      <c r="E12">
        <v>2</v>
      </c>
      <c r="F12" s="15">
        <f t="shared" si="0"/>
        <v>1</v>
      </c>
      <c r="G12" s="16">
        <f t="shared" si="0"/>
        <v>0</v>
      </c>
    </row>
    <row r="13" spans="2:22" x14ac:dyDescent="0.3">
      <c r="B13" s="4"/>
      <c r="C13" s="4"/>
      <c r="D13" s="4"/>
      <c r="E13">
        <v>3</v>
      </c>
      <c r="F13" s="17">
        <f t="shared" si="0"/>
        <v>1</v>
      </c>
      <c r="G13" s="19">
        <f t="shared" si="0"/>
        <v>1</v>
      </c>
      <c r="K13" s="4"/>
      <c r="L13" s="4"/>
      <c r="M13" s="4"/>
      <c r="N13" s="4"/>
    </row>
    <row r="14" spans="2:22" ht="15" thickBot="1" x14ac:dyDescent="0.35">
      <c r="B14" t="s">
        <v>7</v>
      </c>
      <c r="C14" t="s">
        <v>8</v>
      </c>
      <c r="E14" t="s">
        <v>9</v>
      </c>
      <c r="J14" t="s">
        <v>10</v>
      </c>
      <c r="K14" s="4"/>
      <c r="N14" t="s">
        <v>11</v>
      </c>
      <c r="P14" t="s">
        <v>12</v>
      </c>
      <c r="R14" s="22" t="s">
        <v>29</v>
      </c>
      <c r="U14" t="s">
        <v>30</v>
      </c>
    </row>
    <row r="15" spans="2:22" x14ac:dyDescent="0.3">
      <c r="B15" s="5" t="s">
        <v>13</v>
      </c>
      <c r="C15" s="4">
        <f>1/3</f>
        <v>0.33333333333333331</v>
      </c>
      <c r="D15" s="4"/>
      <c r="E15" s="6">
        <v>-1</v>
      </c>
      <c r="F15" s="7">
        <v>1</v>
      </c>
      <c r="G15" s="1">
        <v>0</v>
      </c>
      <c r="H15" s="8"/>
      <c r="J15" s="6">
        <f t="array" ref="J15:K16">MMULT(E15:G16,F11:G13)</f>
        <v>1</v>
      </c>
      <c r="K15" s="1">
        <v>0</v>
      </c>
      <c r="L15" s="8"/>
      <c r="N15">
        <f>MDETERM(J15:K16)</f>
        <v>1</v>
      </c>
      <c r="P15">
        <f>N15*0.5</f>
        <v>0.5</v>
      </c>
      <c r="Q15" t="s">
        <v>31</v>
      </c>
      <c r="U15" s="11">
        <f t="array" ref="U15:V16">MINVERSE(J15:K16)</f>
        <v>1</v>
      </c>
      <c r="V15" s="11">
        <v>0</v>
      </c>
    </row>
    <row r="16" spans="2:22" ht="15" thickBot="1" x14ac:dyDescent="0.35">
      <c r="B16" s="5" t="s">
        <v>14</v>
      </c>
      <c r="C16" s="4">
        <f>1/3</f>
        <v>0.33333333333333331</v>
      </c>
      <c r="D16" s="4"/>
      <c r="E16" s="9">
        <v>-1</v>
      </c>
      <c r="F16" s="10">
        <v>0</v>
      </c>
      <c r="G16" s="3">
        <v>1</v>
      </c>
      <c r="H16" s="8"/>
      <c r="J16" s="9">
        <v>1</v>
      </c>
      <c r="K16" s="3">
        <v>1</v>
      </c>
      <c r="L16" s="8"/>
      <c r="U16" s="11">
        <v>-1</v>
      </c>
      <c r="V16" s="11">
        <v>1</v>
      </c>
    </row>
    <row r="17" spans="2:28" x14ac:dyDescent="0.3">
      <c r="B17" s="5"/>
      <c r="C17" s="4"/>
      <c r="D17" s="4"/>
      <c r="E17" s="8"/>
      <c r="F17" s="8"/>
      <c r="G17" s="8"/>
      <c r="H17" s="8"/>
      <c r="J17" s="8"/>
      <c r="K17" s="8"/>
      <c r="L17" s="8"/>
    </row>
    <row r="19" spans="2:28" x14ac:dyDescent="0.3">
      <c r="E19" s="4" t="s">
        <v>15</v>
      </c>
      <c r="F19" s="4" t="s">
        <v>16</v>
      </c>
      <c r="G19" s="4" t="s">
        <v>17</v>
      </c>
      <c r="H19" s="4"/>
      <c r="I19" s="4" t="s">
        <v>18</v>
      </c>
      <c r="J19" s="4"/>
      <c r="K19" s="4" t="s">
        <v>19</v>
      </c>
      <c r="L19" s="4"/>
      <c r="O19" t="s">
        <v>20</v>
      </c>
    </row>
    <row r="20" spans="2:28" x14ac:dyDescent="0.3">
      <c r="E20" s="4">
        <f>1-C15-C16</f>
        <v>0.33333333333333343</v>
      </c>
      <c r="F20" s="4">
        <f>C15</f>
        <v>0.33333333333333331</v>
      </c>
      <c r="G20" s="4">
        <f>C16</f>
        <v>0.33333333333333331</v>
      </c>
      <c r="H20" s="4"/>
      <c r="I20">
        <f t="array" ref="I20:I22">TRANSPOSE(E20:G20)</f>
        <v>0.33333333333333343</v>
      </c>
      <c r="K20">
        <f t="array" ref="K20:M22">MMULT(I20:I22,E20:G20)</f>
        <v>0.11111111111111117</v>
      </c>
      <c r="L20">
        <v>0.11111111111111113</v>
      </c>
      <c r="M20">
        <v>0.11111111111111113</v>
      </c>
      <c r="O20">
        <f>K20*$P$15</f>
        <v>5.5555555555555587E-2</v>
      </c>
      <c r="P20">
        <f t="shared" ref="P20:Q22" si="1">L20*$P$15</f>
        <v>5.5555555555555566E-2</v>
      </c>
      <c r="Q20">
        <f t="shared" si="1"/>
        <v>5.5555555555555566E-2</v>
      </c>
    </row>
    <row r="21" spans="2:28" x14ac:dyDescent="0.3">
      <c r="E21" t="s">
        <v>21</v>
      </c>
      <c r="I21">
        <v>0.33333333333333331</v>
      </c>
      <c r="K21">
        <v>0.11111111111111113</v>
      </c>
      <c r="L21">
        <v>0.1111111111111111</v>
      </c>
      <c r="M21">
        <v>0.1111111111111111</v>
      </c>
      <c r="O21">
        <f t="shared" ref="O21:O22" si="2">K21*$P$15</f>
        <v>5.5555555555555566E-2</v>
      </c>
      <c r="P21">
        <f t="shared" si="1"/>
        <v>5.5555555555555552E-2</v>
      </c>
      <c r="Q21">
        <f t="shared" si="1"/>
        <v>5.5555555555555552E-2</v>
      </c>
    </row>
    <row r="22" spans="2:28" x14ac:dyDescent="0.3">
      <c r="E22" s="4">
        <f>SUM(E20:G20)</f>
        <v>1</v>
      </c>
      <c r="I22">
        <v>0.33333333333333331</v>
      </c>
      <c r="K22">
        <v>0.11111111111111113</v>
      </c>
      <c r="L22">
        <v>0.1111111111111111</v>
      </c>
      <c r="M22">
        <v>0.1111111111111111</v>
      </c>
      <c r="O22">
        <f t="shared" si="2"/>
        <v>5.5555555555555566E-2</v>
      </c>
      <c r="P22">
        <f t="shared" si="1"/>
        <v>5.5555555555555552E-2</v>
      </c>
      <c r="Q22">
        <f t="shared" si="1"/>
        <v>5.5555555555555552E-2</v>
      </c>
    </row>
    <row r="23" spans="2:28" x14ac:dyDescent="0.3">
      <c r="V23" t="s">
        <v>26</v>
      </c>
    </row>
    <row r="24" spans="2:28" x14ac:dyDescent="0.3">
      <c r="E24" s="11">
        <f t="array" ref="E24:E25">MMULT($U$15:$V$16,E15:E16)</f>
        <v>-1</v>
      </c>
      <c r="F24" s="11">
        <f t="array" ref="F24:F25">MMULT($U$15:$V$16,F15:F16)</f>
        <v>1</v>
      </c>
      <c r="G24" s="11">
        <f t="array" ref="G24:G25">MMULT($U$15:$V$16,G15:G16)</f>
        <v>0</v>
      </c>
      <c r="O24" s="12">
        <f t="array" ref="O24:P26">TRANSPOSE(E24:G25)</f>
        <v>-1</v>
      </c>
      <c r="P24" s="14">
        <v>0</v>
      </c>
      <c r="R24" s="12">
        <f t="array" ref="R24:T26">MMULT(O24:P26,E24:G25)</f>
        <v>1</v>
      </c>
      <c r="S24" s="13">
        <v>-1</v>
      </c>
      <c r="T24" s="14">
        <v>0</v>
      </c>
      <c r="V24" s="12">
        <f>R24*$P$15</f>
        <v>0.5</v>
      </c>
      <c r="W24" s="13">
        <f t="shared" ref="W24:X26" si="3">S24*$P$15</f>
        <v>-0.5</v>
      </c>
      <c r="X24" s="14">
        <f t="shared" si="3"/>
        <v>0</v>
      </c>
    </row>
    <row r="25" spans="2:28" x14ac:dyDescent="0.3">
      <c r="D25" s="4"/>
      <c r="E25" s="11">
        <v>0</v>
      </c>
      <c r="F25" s="11">
        <v>-1</v>
      </c>
      <c r="G25" s="11">
        <v>1</v>
      </c>
      <c r="O25" s="15">
        <v>1</v>
      </c>
      <c r="P25" s="16">
        <v>-1</v>
      </c>
      <c r="R25" s="15">
        <v>-1</v>
      </c>
      <c r="S25" s="8">
        <v>2</v>
      </c>
      <c r="T25" s="16">
        <v>-1</v>
      </c>
      <c r="V25" s="15">
        <f t="shared" ref="V25:V26" si="4">R25*$P$15</f>
        <v>-0.5</v>
      </c>
      <c r="W25" s="8">
        <f t="shared" si="3"/>
        <v>1</v>
      </c>
      <c r="X25" s="16">
        <f t="shared" si="3"/>
        <v>-0.5</v>
      </c>
    </row>
    <row r="26" spans="2:28" x14ac:dyDescent="0.3">
      <c r="D26" s="4"/>
      <c r="O26" s="17">
        <v>0</v>
      </c>
      <c r="P26" s="19">
        <v>1</v>
      </c>
      <c r="R26" s="17">
        <v>0</v>
      </c>
      <c r="S26" s="18">
        <v>-1</v>
      </c>
      <c r="T26" s="19">
        <v>1</v>
      </c>
      <c r="V26" s="17">
        <f t="shared" si="4"/>
        <v>0</v>
      </c>
      <c r="W26" s="18">
        <f t="shared" si="3"/>
        <v>-0.5</v>
      </c>
      <c r="X26" s="19">
        <f t="shared" si="3"/>
        <v>0.5</v>
      </c>
    </row>
    <row r="27" spans="2:28" x14ac:dyDescent="0.3">
      <c r="D27" s="4"/>
      <c r="E27" t="s">
        <v>22</v>
      </c>
      <c r="L27" t="s">
        <v>23</v>
      </c>
      <c r="P27" t="s">
        <v>24</v>
      </c>
      <c r="W27" t="s">
        <v>25</v>
      </c>
    </row>
    <row r="28" spans="2:28" x14ac:dyDescent="0.3">
      <c r="E28" s="12">
        <f>E24</f>
        <v>-1</v>
      </c>
      <c r="F28" s="13">
        <v>0</v>
      </c>
      <c r="G28" s="13">
        <f>F24</f>
        <v>1</v>
      </c>
      <c r="H28" s="13">
        <v>0</v>
      </c>
      <c r="I28" s="13">
        <f>G24</f>
        <v>0</v>
      </c>
      <c r="J28" s="14">
        <v>0</v>
      </c>
      <c r="L28" s="12">
        <f t="array" ref="L28:N33">TRANSPOSE(E28:J30)</f>
        <v>-1</v>
      </c>
      <c r="M28" s="13">
        <v>0</v>
      </c>
      <c r="N28" s="14">
        <v>0</v>
      </c>
      <c r="P28" s="12">
        <f t="array" ref="P28:U33">MMULT(L28:N33,E28:J30)</f>
        <v>1</v>
      </c>
      <c r="Q28" s="13">
        <v>0</v>
      </c>
      <c r="R28" s="13">
        <v>-1</v>
      </c>
      <c r="S28" s="13">
        <v>0</v>
      </c>
      <c r="T28" s="13">
        <v>0</v>
      </c>
      <c r="U28" s="14">
        <v>0</v>
      </c>
      <c r="W28" s="12">
        <f>P28*$P$15</f>
        <v>0.5</v>
      </c>
      <c r="X28" s="13">
        <f t="shared" ref="X28:AB33" si="5">Q28*$P$15</f>
        <v>0</v>
      </c>
      <c r="Y28" s="13">
        <f t="shared" si="5"/>
        <v>-0.5</v>
      </c>
      <c r="Z28" s="13">
        <f t="shared" si="5"/>
        <v>0</v>
      </c>
      <c r="AA28" s="13">
        <f t="shared" si="5"/>
        <v>0</v>
      </c>
      <c r="AB28" s="14">
        <f t="shared" si="5"/>
        <v>0</v>
      </c>
    </row>
    <row r="29" spans="2:28" x14ac:dyDescent="0.3">
      <c r="E29" s="15">
        <v>0</v>
      </c>
      <c r="F29" s="8">
        <f>E25</f>
        <v>0</v>
      </c>
      <c r="G29" s="8">
        <v>0</v>
      </c>
      <c r="H29" s="8">
        <f>F25</f>
        <v>-1</v>
      </c>
      <c r="I29" s="8">
        <v>0</v>
      </c>
      <c r="J29" s="16">
        <f>G25</f>
        <v>1</v>
      </c>
      <c r="L29" s="15">
        <v>0</v>
      </c>
      <c r="M29" s="8">
        <v>0</v>
      </c>
      <c r="N29" s="16">
        <v>-1</v>
      </c>
      <c r="P29" s="15">
        <v>0</v>
      </c>
      <c r="Q29" s="8">
        <v>1</v>
      </c>
      <c r="R29" s="8">
        <v>1</v>
      </c>
      <c r="S29" s="8">
        <v>-1</v>
      </c>
      <c r="T29" s="8">
        <v>-1</v>
      </c>
      <c r="U29" s="16">
        <v>0</v>
      </c>
      <c r="W29" s="15">
        <f t="shared" ref="W29:W33" si="6">P29*$P$15</f>
        <v>0</v>
      </c>
      <c r="X29" s="8">
        <f t="shared" si="5"/>
        <v>0.5</v>
      </c>
      <c r="Y29" s="8">
        <f t="shared" si="5"/>
        <v>0.5</v>
      </c>
      <c r="Z29" s="8">
        <f t="shared" si="5"/>
        <v>-0.5</v>
      </c>
      <c r="AA29" s="8">
        <f t="shared" si="5"/>
        <v>-0.5</v>
      </c>
      <c r="AB29" s="16">
        <f t="shared" si="5"/>
        <v>0</v>
      </c>
    </row>
    <row r="30" spans="2:28" x14ac:dyDescent="0.3">
      <c r="E30" s="17">
        <f>E25</f>
        <v>0</v>
      </c>
      <c r="F30" s="18">
        <f>E24</f>
        <v>-1</v>
      </c>
      <c r="G30" s="18">
        <f>F25</f>
        <v>-1</v>
      </c>
      <c r="H30" s="18">
        <f>F24</f>
        <v>1</v>
      </c>
      <c r="I30" s="18">
        <f>G25</f>
        <v>1</v>
      </c>
      <c r="J30" s="19">
        <f>G24</f>
        <v>0</v>
      </c>
      <c r="L30" s="15">
        <v>1</v>
      </c>
      <c r="M30" s="8">
        <v>0</v>
      </c>
      <c r="N30" s="16">
        <v>-1</v>
      </c>
      <c r="P30" s="15">
        <v>-1</v>
      </c>
      <c r="Q30" s="8">
        <v>1</v>
      </c>
      <c r="R30" s="8">
        <v>2</v>
      </c>
      <c r="S30" s="8">
        <v>-1</v>
      </c>
      <c r="T30" s="8">
        <v>-1</v>
      </c>
      <c r="U30" s="16">
        <v>0</v>
      </c>
      <c r="W30" s="15">
        <f t="shared" si="6"/>
        <v>-0.5</v>
      </c>
      <c r="X30" s="8">
        <f t="shared" si="5"/>
        <v>0.5</v>
      </c>
      <c r="Y30" s="8">
        <f t="shared" si="5"/>
        <v>1</v>
      </c>
      <c r="Z30" s="8">
        <f t="shared" si="5"/>
        <v>-0.5</v>
      </c>
      <c r="AA30" s="8">
        <f t="shared" si="5"/>
        <v>-0.5</v>
      </c>
      <c r="AB30" s="16">
        <f t="shared" si="5"/>
        <v>0</v>
      </c>
    </row>
    <row r="31" spans="2:28" x14ac:dyDescent="0.3">
      <c r="L31" s="15">
        <v>0</v>
      </c>
      <c r="M31" s="8">
        <v>-1</v>
      </c>
      <c r="N31" s="16">
        <v>1</v>
      </c>
      <c r="P31" s="15">
        <v>0</v>
      </c>
      <c r="Q31" s="8">
        <v>-1</v>
      </c>
      <c r="R31" s="8">
        <v>-1</v>
      </c>
      <c r="S31" s="8">
        <v>2</v>
      </c>
      <c r="T31" s="8">
        <v>1</v>
      </c>
      <c r="U31" s="16">
        <v>-1</v>
      </c>
      <c r="W31" s="15">
        <f t="shared" si="6"/>
        <v>0</v>
      </c>
      <c r="X31" s="8">
        <f t="shared" si="5"/>
        <v>-0.5</v>
      </c>
      <c r="Y31" s="8">
        <f t="shared" si="5"/>
        <v>-0.5</v>
      </c>
      <c r="Z31" s="8">
        <f t="shared" si="5"/>
        <v>1</v>
      </c>
      <c r="AA31" s="8">
        <f t="shared" si="5"/>
        <v>0.5</v>
      </c>
      <c r="AB31" s="16">
        <f t="shared" si="5"/>
        <v>-0.5</v>
      </c>
    </row>
    <row r="32" spans="2:28" x14ac:dyDescent="0.3">
      <c r="L32" s="15">
        <v>0</v>
      </c>
      <c r="M32" s="8">
        <v>0</v>
      </c>
      <c r="N32" s="16">
        <v>1</v>
      </c>
      <c r="P32" s="15">
        <v>0</v>
      </c>
      <c r="Q32" s="8">
        <v>-1</v>
      </c>
      <c r="R32" s="8">
        <v>-1</v>
      </c>
      <c r="S32" s="8">
        <v>1</v>
      </c>
      <c r="T32" s="8">
        <v>1</v>
      </c>
      <c r="U32" s="16">
        <v>0</v>
      </c>
      <c r="W32" s="15">
        <f t="shared" si="6"/>
        <v>0</v>
      </c>
      <c r="X32" s="8">
        <f t="shared" si="5"/>
        <v>-0.5</v>
      </c>
      <c r="Y32" s="8">
        <f t="shared" si="5"/>
        <v>-0.5</v>
      </c>
      <c r="Z32" s="8">
        <f t="shared" si="5"/>
        <v>0.5</v>
      </c>
      <c r="AA32" s="8">
        <f t="shared" si="5"/>
        <v>0.5</v>
      </c>
      <c r="AB32" s="16">
        <f t="shared" si="5"/>
        <v>0</v>
      </c>
    </row>
    <row r="33" spans="2:28" x14ac:dyDescent="0.3">
      <c r="L33" s="17">
        <v>0</v>
      </c>
      <c r="M33" s="18">
        <v>1</v>
      </c>
      <c r="N33" s="19">
        <v>0</v>
      </c>
      <c r="P33" s="17">
        <v>0</v>
      </c>
      <c r="Q33" s="18">
        <v>0</v>
      </c>
      <c r="R33" s="18">
        <v>0</v>
      </c>
      <c r="S33" s="18">
        <v>-1</v>
      </c>
      <c r="T33" s="18">
        <v>0</v>
      </c>
      <c r="U33" s="19">
        <v>1</v>
      </c>
      <c r="W33" s="17">
        <f t="shared" si="6"/>
        <v>0</v>
      </c>
      <c r="X33" s="18">
        <f t="shared" si="5"/>
        <v>0</v>
      </c>
      <c r="Y33" s="18">
        <f t="shared" si="5"/>
        <v>0</v>
      </c>
      <c r="Z33" s="18">
        <f t="shared" si="5"/>
        <v>-0.5</v>
      </c>
      <c r="AA33" s="18">
        <f t="shared" si="5"/>
        <v>0</v>
      </c>
      <c r="AB33" s="19">
        <f t="shared" si="5"/>
        <v>0.5</v>
      </c>
    </row>
    <row r="36" spans="2:28" x14ac:dyDescent="0.3">
      <c r="B36" t="s">
        <v>33</v>
      </c>
      <c r="F36" t="s">
        <v>4</v>
      </c>
      <c r="G36" t="s">
        <v>5</v>
      </c>
    </row>
    <row r="37" spans="2:28" x14ac:dyDescent="0.3">
      <c r="E37">
        <v>1</v>
      </c>
      <c r="F37" s="12">
        <f>D5</f>
        <v>0</v>
      </c>
      <c r="G37" s="12">
        <f>E5</f>
        <v>0</v>
      </c>
    </row>
    <row r="38" spans="2:28" x14ac:dyDescent="0.3">
      <c r="B38" t="s">
        <v>6</v>
      </c>
      <c r="E38">
        <v>3</v>
      </c>
      <c r="F38" s="15">
        <f>D7</f>
        <v>1</v>
      </c>
      <c r="G38" s="15">
        <f>E7</f>
        <v>1</v>
      </c>
    </row>
    <row r="39" spans="2:28" x14ac:dyDescent="0.3">
      <c r="B39" s="4"/>
      <c r="C39" s="4"/>
      <c r="D39" s="4"/>
      <c r="E39">
        <v>4</v>
      </c>
      <c r="F39" s="17">
        <f>D8</f>
        <v>0</v>
      </c>
      <c r="G39" s="17">
        <f>E8</f>
        <v>1</v>
      </c>
      <c r="K39" s="4"/>
      <c r="L39" s="4"/>
      <c r="M39" s="4"/>
      <c r="N39" s="4"/>
    </row>
    <row r="40" spans="2:28" ht="15" thickBot="1" x14ac:dyDescent="0.35">
      <c r="B40" t="s">
        <v>7</v>
      </c>
      <c r="C40" t="s">
        <v>8</v>
      </c>
      <c r="E40" t="s">
        <v>9</v>
      </c>
      <c r="J40" t="s">
        <v>10</v>
      </c>
      <c r="K40" s="4"/>
      <c r="N40" t="s">
        <v>11</v>
      </c>
      <c r="P40" t="s">
        <v>12</v>
      </c>
      <c r="R40" s="22" t="s">
        <v>29</v>
      </c>
      <c r="U40" t="s">
        <v>30</v>
      </c>
    </row>
    <row r="41" spans="2:28" x14ac:dyDescent="0.3">
      <c r="B41" s="5" t="s">
        <v>13</v>
      </c>
      <c r="C41" s="4">
        <f>1/3</f>
        <v>0.33333333333333331</v>
      </c>
      <c r="D41" s="4"/>
      <c r="E41" s="6">
        <v>-1</v>
      </c>
      <c r="F41" s="7">
        <v>1</v>
      </c>
      <c r="G41" s="1">
        <v>0</v>
      </c>
      <c r="H41" s="8"/>
      <c r="J41" s="6">
        <f t="array" ref="J41:K42">MMULT(E41:G42,F37:G39)</f>
        <v>1</v>
      </c>
      <c r="K41" s="1">
        <v>1</v>
      </c>
      <c r="L41" s="8"/>
      <c r="N41">
        <f>MDETERM(J41:K42)</f>
        <v>1</v>
      </c>
      <c r="P41">
        <f>N41*0.5</f>
        <v>0.5</v>
      </c>
      <c r="Q41" t="s">
        <v>31</v>
      </c>
      <c r="U41" s="11">
        <f t="array" ref="U41:V42">MINVERSE(J41:K42)</f>
        <v>1</v>
      </c>
      <c r="V41" s="11">
        <v>-1</v>
      </c>
    </row>
    <row r="42" spans="2:28" ht="15" thickBot="1" x14ac:dyDescent="0.35">
      <c r="B42" s="5" t="s">
        <v>14</v>
      </c>
      <c r="C42" s="4">
        <f>1/3</f>
        <v>0.33333333333333331</v>
      </c>
      <c r="D42" s="4"/>
      <c r="E42" s="9">
        <v>-1</v>
      </c>
      <c r="F42" s="10">
        <v>0</v>
      </c>
      <c r="G42" s="3">
        <v>1</v>
      </c>
      <c r="H42" s="8"/>
      <c r="J42" s="9">
        <v>0</v>
      </c>
      <c r="K42" s="3">
        <v>1</v>
      </c>
      <c r="L42" s="8"/>
      <c r="U42" s="11">
        <v>0</v>
      </c>
      <c r="V42" s="11">
        <v>1</v>
      </c>
    </row>
    <row r="43" spans="2:28" x14ac:dyDescent="0.3">
      <c r="B43" s="5"/>
      <c r="C43" s="4"/>
      <c r="D43" s="4"/>
      <c r="E43" s="8"/>
      <c r="F43" s="8"/>
      <c r="G43" s="8"/>
      <c r="H43" s="8"/>
      <c r="J43" s="8"/>
      <c r="K43" s="8"/>
      <c r="L43" s="8"/>
    </row>
    <row r="45" spans="2:28" x14ac:dyDescent="0.3">
      <c r="E45" s="4" t="s">
        <v>15</v>
      </c>
      <c r="F45" s="4" t="s">
        <v>16</v>
      </c>
      <c r="G45" s="4" t="s">
        <v>17</v>
      </c>
      <c r="H45" s="4"/>
      <c r="I45" s="4" t="s">
        <v>18</v>
      </c>
      <c r="J45" s="4"/>
      <c r="K45" s="4" t="s">
        <v>19</v>
      </c>
      <c r="L45" s="4"/>
      <c r="O45" t="s">
        <v>20</v>
      </c>
    </row>
    <row r="46" spans="2:28" x14ac:dyDescent="0.3">
      <c r="E46" s="4">
        <f>1-C41-C42</f>
        <v>0.33333333333333343</v>
      </c>
      <c r="F46" s="4">
        <f>C41</f>
        <v>0.33333333333333331</v>
      </c>
      <c r="G46" s="4">
        <f>C42</f>
        <v>0.33333333333333331</v>
      </c>
      <c r="H46" s="4"/>
      <c r="I46">
        <f t="array" ref="I46:I48">TRANSPOSE(E46:G46)</f>
        <v>0.33333333333333343</v>
      </c>
      <c r="K46">
        <f t="array" ref="K46:M48">MMULT(I46:I48,E46:G46)</f>
        <v>0.11111111111111117</v>
      </c>
      <c r="L46">
        <v>0.11111111111111113</v>
      </c>
      <c r="M46">
        <v>0.11111111111111113</v>
      </c>
      <c r="O46">
        <f>K46*$P$15</f>
        <v>5.5555555555555587E-2</v>
      </c>
      <c r="P46">
        <f t="shared" ref="P46:Q48" si="7">L46*$P$15</f>
        <v>5.5555555555555566E-2</v>
      </c>
      <c r="Q46">
        <f t="shared" si="7"/>
        <v>5.5555555555555566E-2</v>
      </c>
    </row>
    <row r="47" spans="2:28" x14ac:dyDescent="0.3">
      <c r="E47" t="s">
        <v>21</v>
      </c>
      <c r="I47">
        <v>0.33333333333333331</v>
      </c>
      <c r="K47">
        <v>0.11111111111111113</v>
      </c>
      <c r="L47">
        <v>0.1111111111111111</v>
      </c>
      <c r="M47">
        <v>0.1111111111111111</v>
      </c>
      <c r="O47">
        <f t="shared" ref="O47:O48" si="8">K47*$P$15</f>
        <v>5.5555555555555566E-2</v>
      </c>
      <c r="P47">
        <f t="shared" si="7"/>
        <v>5.5555555555555552E-2</v>
      </c>
      <c r="Q47">
        <f t="shared" si="7"/>
        <v>5.5555555555555552E-2</v>
      </c>
    </row>
    <row r="48" spans="2:28" x14ac:dyDescent="0.3">
      <c r="E48" s="4">
        <f>SUM(E46:G46)</f>
        <v>1</v>
      </c>
      <c r="I48">
        <v>0.33333333333333331</v>
      </c>
      <c r="K48">
        <v>0.11111111111111113</v>
      </c>
      <c r="L48">
        <v>0.1111111111111111</v>
      </c>
      <c r="M48">
        <v>0.1111111111111111</v>
      </c>
      <c r="O48">
        <f t="shared" si="8"/>
        <v>5.5555555555555566E-2</v>
      </c>
      <c r="P48">
        <f t="shared" si="7"/>
        <v>5.5555555555555552E-2</v>
      </c>
      <c r="Q48">
        <f t="shared" si="7"/>
        <v>5.5555555555555552E-2</v>
      </c>
    </row>
    <row r="49" spans="4:45" x14ac:dyDescent="0.3">
      <c r="V49" t="s">
        <v>27</v>
      </c>
    </row>
    <row r="50" spans="4:45" x14ac:dyDescent="0.3">
      <c r="E50" s="11">
        <f t="array" ref="E50:E51">MMULT($U$41:$V$42,E41:E42)</f>
        <v>0</v>
      </c>
      <c r="F50" s="11">
        <f t="array" ref="F50:F51">MMULT($U$41:$V$42,F41:F42)</f>
        <v>1</v>
      </c>
      <c r="G50" s="11">
        <f t="array" ref="G50:G51">MMULT($U$41:$V$42,G41:G42)</f>
        <v>-1</v>
      </c>
      <c r="O50" s="12">
        <f t="array" ref="O50:P52">TRANSPOSE(E50:G51)</f>
        <v>0</v>
      </c>
      <c r="P50" s="14">
        <v>-1</v>
      </c>
      <c r="R50" s="12">
        <f t="array" ref="R50:T52">MMULT(O50:P52,E50:G51)</f>
        <v>1</v>
      </c>
      <c r="S50" s="13">
        <v>0</v>
      </c>
      <c r="T50" s="14">
        <v>-1</v>
      </c>
      <c r="V50" s="12">
        <f>R50*$P$41</f>
        <v>0.5</v>
      </c>
      <c r="W50" s="13">
        <f t="shared" ref="W50:X52" si="9">S50*$P$41</f>
        <v>0</v>
      </c>
      <c r="X50" s="14">
        <f t="shared" si="9"/>
        <v>-0.5</v>
      </c>
    </row>
    <row r="51" spans="4:45" x14ac:dyDescent="0.3">
      <c r="D51" s="4"/>
      <c r="E51" s="11">
        <v>-1</v>
      </c>
      <c r="F51" s="11">
        <v>0</v>
      </c>
      <c r="G51" s="11">
        <v>1</v>
      </c>
      <c r="O51" s="15">
        <v>1</v>
      </c>
      <c r="P51" s="16">
        <v>0</v>
      </c>
      <c r="R51" s="15">
        <v>0</v>
      </c>
      <c r="S51" s="8">
        <v>1</v>
      </c>
      <c r="T51" s="16">
        <v>-1</v>
      </c>
      <c r="V51" s="12">
        <f>R51*$P$41</f>
        <v>0</v>
      </c>
      <c r="W51" s="8">
        <f t="shared" si="9"/>
        <v>0.5</v>
      </c>
      <c r="X51" s="16">
        <f t="shared" si="9"/>
        <v>-0.5</v>
      </c>
    </row>
    <row r="52" spans="4:45" x14ac:dyDescent="0.3">
      <c r="D52" s="4"/>
      <c r="O52" s="17">
        <v>-1</v>
      </c>
      <c r="P52" s="19">
        <v>1</v>
      </c>
      <c r="R52" s="17">
        <v>-1</v>
      </c>
      <c r="S52" s="18">
        <v>-1</v>
      </c>
      <c r="T52" s="19">
        <v>2</v>
      </c>
      <c r="V52" s="17">
        <f t="shared" ref="V52" si="10">R52*$P$41</f>
        <v>-0.5</v>
      </c>
      <c r="W52" s="18">
        <f t="shared" si="9"/>
        <v>-0.5</v>
      </c>
      <c r="X52" s="19">
        <f t="shared" si="9"/>
        <v>1</v>
      </c>
    </row>
    <row r="53" spans="4:45" x14ac:dyDescent="0.3">
      <c r="D53" s="4"/>
      <c r="E53" t="s">
        <v>22</v>
      </c>
      <c r="L53" t="s">
        <v>23</v>
      </c>
      <c r="P53" t="s">
        <v>24</v>
      </c>
      <c r="W53" t="s">
        <v>25</v>
      </c>
    </row>
    <row r="54" spans="4:45" x14ac:dyDescent="0.3">
      <c r="E54" s="12">
        <f>E50</f>
        <v>0</v>
      </c>
      <c r="F54" s="13">
        <v>0</v>
      </c>
      <c r="G54" s="13">
        <f>F50</f>
        <v>1</v>
      </c>
      <c r="H54" s="13">
        <v>0</v>
      </c>
      <c r="I54" s="13">
        <f>G50</f>
        <v>-1</v>
      </c>
      <c r="J54" s="14">
        <v>0</v>
      </c>
      <c r="L54" s="12">
        <f t="array" ref="L54:N59">TRANSPOSE(E54:J56)</f>
        <v>0</v>
      </c>
      <c r="M54" s="13">
        <v>0</v>
      </c>
      <c r="N54" s="14">
        <v>-1</v>
      </c>
      <c r="P54" s="12">
        <f t="array" ref="P54:U59">MMULT(L54:N59,E54:J56)</f>
        <v>1</v>
      </c>
      <c r="Q54" s="13">
        <v>0</v>
      </c>
      <c r="R54" s="13">
        <v>0</v>
      </c>
      <c r="S54" s="13">
        <v>-1</v>
      </c>
      <c r="T54" s="13">
        <v>-1</v>
      </c>
      <c r="U54" s="14">
        <v>1</v>
      </c>
      <c r="W54" s="12">
        <f>P54*$P$41</f>
        <v>0.5</v>
      </c>
      <c r="X54" s="12">
        <f t="shared" ref="X54:AB59" si="11">Q54*$P$41</f>
        <v>0</v>
      </c>
      <c r="Y54" s="12">
        <f t="shared" si="11"/>
        <v>0</v>
      </c>
      <c r="Z54" s="12">
        <f t="shared" si="11"/>
        <v>-0.5</v>
      </c>
      <c r="AA54" s="12">
        <f t="shared" si="11"/>
        <v>-0.5</v>
      </c>
      <c r="AB54" s="12">
        <f t="shared" si="11"/>
        <v>0.5</v>
      </c>
    </row>
    <row r="55" spans="4:45" x14ac:dyDescent="0.3">
      <c r="E55" s="15">
        <v>0</v>
      </c>
      <c r="F55" s="8">
        <f t="array" ref="F55">E51</f>
        <v>-1</v>
      </c>
      <c r="G55" s="8">
        <v>0</v>
      </c>
      <c r="H55" s="8">
        <f>F51</f>
        <v>0</v>
      </c>
      <c r="I55" s="8">
        <v>0</v>
      </c>
      <c r="J55" s="16">
        <f>G51</f>
        <v>1</v>
      </c>
      <c r="L55" s="15">
        <v>0</v>
      </c>
      <c r="M55" s="8">
        <v>-1</v>
      </c>
      <c r="N55" s="16">
        <v>0</v>
      </c>
      <c r="P55" s="15">
        <v>0</v>
      </c>
      <c r="Q55" s="8">
        <v>1</v>
      </c>
      <c r="R55" s="8">
        <v>0</v>
      </c>
      <c r="S55" s="8">
        <v>0</v>
      </c>
      <c r="T55" s="8">
        <v>0</v>
      </c>
      <c r="U55" s="16">
        <v>-1</v>
      </c>
      <c r="W55" s="12">
        <f t="shared" ref="W55:W59" si="12">P55*$P$41</f>
        <v>0</v>
      </c>
      <c r="X55" s="12">
        <f t="shared" si="11"/>
        <v>0.5</v>
      </c>
      <c r="Y55" s="12">
        <f t="shared" si="11"/>
        <v>0</v>
      </c>
      <c r="Z55" s="12">
        <f t="shared" si="11"/>
        <v>0</v>
      </c>
      <c r="AA55" s="12">
        <f t="shared" si="11"/>
        <v>0</v>
      </c>
      <c r="AB55" s="12">
        <f t="shared" si="11"/>
        <v>-0.5</v>
      </c>
    </row>
    <row r="56" spans="4:45" x14ac:dyDescent="0.3">
      <c r="E56" s="17">
        <f>E51</f>
        <v>-1</v>
      </c>
      <c r="F56" s="18">
        <f>E50</f>
        <v>0</v>
      </c>
      <c r="G56" s="18">
        <f>F51</f>
        <v>0</v>
      </c>
      <c r="H56" s="18">
        <f>F50</f>
        <v>1</v>
      </c>
      <c r="I56" s="18">
        <f>G51</f>
        <v>1</v>
      </c>
      <c r="J56" s="19">
        <f>G50</f>
        <v>-1</v>
      </c>
      <c r="L56" s="15">
        <v>1</v>
      </c>
      <c r="M56" s="8">
        <v>0</v>
      </c>
      <c r="N56" s="16">
        <v>0</v>
      </c>
      <c r="P56" s="15">
        <v>0</v>
      </c>
      <c r="Q56" s="8">
        <v>0</v>
      </c>
      <c r="R56" s="8">
        <v>1</v>
      </c>
      <c r="S56" s="8">
        <v>0</v>
      </c>
      <c r="T56" s="8">
        <v>-1</v>
      </c>
      <c r="U56" s="16">
        <v>0</v>
      </c>
      <c r="W56" s="12">
        <f t="shared" si="12"/>
        <v>0</v>
      </c>
      <c r="X56" s="12">
        <f t="shared" si="11"/>
        <v>0</v>
      </c>
      <c r="Y56" s="12">
        <f t="shared" si="11"/>
        <v>0.5</v>
      </c>
      <c r="Z56" s="12">
        <f t="shared" si="11"/>
        <v>0</v>
      </c>
      <c r="AA56" s="12">
        <f t="shared" si="11"/>
        <v>-0.5</v>
      </c>
      <c r="AB56" s="12">
        <f t="shared" si="11"/>
        <v>0</v>
      </c>
    </row>
    <row r="57" spans="4:45" x14ac:dyDescent="0.3">
      <c r="L57" s="15">
        <v>0</v>
      </c>
      <c r="M57" s="8">
        <v>0</v>
      </c>
      <c r="N57" s="16">
        <v>1</v>
      </c>
      <c r="P57" s="15">
        <v>-1</v>
      </c>
      <c r="Q57" s="8">
        <v>0</v>
      </c>
      <c r="R57" s="8">
        <v>0</v>
      </c>
      <c r="S57" s="8">
        <v>1</v>
      </c>
      <c r="T57" s="8">
        <v>1</v>
      </c>
      <c r="U57" s="16">
        <v>-1</v>
      </c>
      <c r="W57" s="12">
        <f t="shared" si="12"/>
        <v>-0.5</v>
      </c>
      <c r="X57" s="12">
        <f t="shared" si="11"/>
        <v>0</v>
      </c>
      <c r="Y57" s="12">
        <f t="shared" si="11"/>
        <v>0</v>
      </c>
      <c r="Z57" s="12">
        <f t="shared" si="11"/>
        <v>0.5</v>
      </c>
      <c r="AA57" s="12">
        <f t="shared" si="11"/>
        <v>0.5</v>
      </c>
      <c r="AB57" s="12">
        <f t="shared" si="11"/>
        <v>-0.5</v>
      </c>
    </row>
    <row r="58" spans="4:45" x14ac:dyDescent="0.3">
      <c r="L58" s="15">
        <v>-1</v>
      </c>
      <c r="M58" s="8">
        <v>0</v>
      </c>
      <c r="N58" s="16">
        <v>1</v>
      </c>
      <c r="P58" s="15">
        <v>-1</v>
      </c>
      <c r="Q58" s="8">
        <v>0</v>
      </c>
      <c r="R58" s="8">
        <v>-1</v>
      </c>
      <c r="S58" s="8">
        <v>1</v>
      </c>
      <c r="T58" s="8">
        <v>2</v>
      </c>
      <c r="U58" s="16">
        <v>-1</v>
      </c>
      <c r="W58" s="12">
        <f t="shared" si="12"/>
        <v>-0.5</v>
      </c>
      <c r="X58" s="12">
        <f t="shared" si="11"/>
        <v>0</v>
      </c>
      <c r="Y58" s="12">
        <f t="shared" si="11"/>
        <v>-0.5</v>
      </c>
      <c r="Z58" s="12">
        <f t="shared" si="11"/>
        <v>0.5</v>
      </c>
      <c r="AA58" s="12">
        <f t="shared" si="11"/>
        <v>1</v>
      </c>
      <c r="AB58" s="12">
        <f t="shared" si="11"/>
        <v>-0.5</v>
      </c>
    </row>
    <row r="59" spans="4:45" x14ac:dyDescent="0.3">
      <c r="L59" s="17">
        <v>0</v>
      </c>
      <c r="M59" s="18">
        <v>1</v>
      </c>
      <c r="N59" s="19">
        <v>-1</v>
      </c>
      <c r="P59" s="17">
        <v>1</v>
      </c>
      <c r="Q59" s="18">
        <v>-1</v>
      </c>
      <c r="R59" s="18">
        <v>0</v>
      </c>
      <c r="S59" s="18">
        <v>-1</v>
      </c>
      <c r="T59" s="18">
        <v>-1</v>
      </c>
      <c r="U59" s="19">
        <v>2</v>
      </c>
      <c r="W59" s="12">
        <f t="shared" si="12"/>
        <v>0.5</v>
      </c>
      <c r="X59" s="12">
        <f t="shared" si="11"/>
        <v>-0.5</v>
      </c>
      <c r="Y59" s="12">
        <f t="shared" si="11"/>
        <v>0</v>
      </c>
      <c r="Z59" s="12">
        <f t="shared" si="11"/>
        <v>-0.5</v>
      </c>
      <c r="AA59" s="12">
        <f t="shared" si="11"/>
        <v>-0.5</v>
      </c>
      <c r="AB59" s="12">
        <f t="shared" si="11"/>
        <v>1</v>
      </c>
    </row>
    <row r="61" spans="4:45" x14ac:dyDescent="0.3">
      <c r="M61" t="s">
        <v>37</v>
      </c>
      <c r="N61" t="s">
        <v>51</v>
      </c>
    </row>
    <row r="62" spans="4:45" x14ac:dyDescent="0.3">
      <c r="I62" t="s">
        <v>34</v>
      </c>
      <c r="R62" t="s">
        <v>52</v>
      </c>
      <c r="W62" t="s">
        <v>54</v>
      </c>
      <c r="AA62" t="s">
        <v>55</v>
      </c>
      <c r="AC62" t="s">
        <v>37</v>
      </c>
    </row>
    <row r="63" spans="4:45" x14ac:dyDescent="0.3">
      <c r="H63">
        <v>1</v>
      </c>
      <c r="I63" s="12">
        <f t="shared" ref="I63:K65" si="13">O20</f>
        <v>5.5555555555555587E-2</v>
      </c>
      <c r="J63" s="13">
        <f t="shared" si="13"/>
        <v>5.5555555555555566E-2</v>
      </c>
      <c r="K63" s="14">
        <f t="shared" si="13"/>
        <v>5.5555555555555566E-2</v>
      </c>
      <c r="R63" s="12">
        <f>I63</f>
        <v>5.5555555555555587E-2</v>
      </c>
      <c r="S63" s="13">
        <f t="shared" ref="S63:T65" si="14">J63</f>
        <v>5.5555555555555566E-2</v>
      </c>
      <c r="T63" s="13">
        <f t="shared" si="14"/>
        <v>5.5555555555555566E-2</v>
      </c>
      <c r="U63" s="14">
        <v>0</v>
      </c>
      <c r="W63" s="12">
        <f>R63+R69</f>
        <v>0.11111111111111117</v>
      </c>
      <c r="X63" s="13">
        <f t="shared" ref="X63:Z66" si="15">S63+S69</f>
        <v>5.5555555555555566E-2</v>
      </c>
      <c r="Y63" s="13">
        <f t="shared" si="15"/>
        <v>0.11111111111111113</v>
      </c>
      <c r="Z63" s="14">
        <f t="shared" si="15"/>
        <v>5.5555555555555566E-2</v>
      </c>
      <c r="AA63" s="23">
        <f>SUM(W63:Z63)</f>
        <v>0.33333333333333348</v>
      </c>
      <c r="AC63" s="12">
        <f t="shared" ref="AC63:AF66" si="16">W63</f>
        <v>0.11111111111111117</v>
      </c>
      <c r="AD63" s="13">
        <f t="shared" si="16"/>
        <v>5.5555555555555566E-2</v>
      </c>
      <c r="AE63" s="13">
        <f t="shared" si="16"/>
        <v>0.11111111111111113</v>
      </c>
      <c r="AF63" s="13">
        <f t="shared" si="16"/>
        <v>5.5555555555555566E-2</v>
      </c>
      <c r="AG63" s="13">
        <v>0</v>
      </c>
      <c r="AH63" s="13">
        <v>0</v>
      </c>
      <c r="AI63" s="13">
        <v>0</v>
      </c>
      <c r="AJ63" s="14">
        <v>0</v>
      </c>
      <c r="AL63" s="12">
        <f>AA63</f>
        <v>0.33333333333333348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4">
        <v>0</v>
      </c>
    </row>
    <row r="64" spans="4:45" x14ac:dyDescent="0.3">
      <c r="H64">
        <v>2</v>
      </c>
      <c r="I64" s="15">
        <f t="shared" si="13"/>
        <v>5.5555555555555566E-2</v>
      </c>
      <c r="J64" s="8">
        <f t="shared" si="13"/>
        <v>5.5555555555555552E-2</v>
      </c>
      <c r="K64" s="16">
        <f t="shared" si="13"/>
        <v>5.5555555555555552E-2</v>
      </c>
      <c r="R64" s="15">
        <f t="shared" ref="R64:R65" si="17">I64</f>
        <v>5.5555555555555566E-2</v>
      </c>
      <c r="S64" s="8">
        <f t="shared" si="14"/>
        <v>5.5555555555555552E-2</v>
      </c>
      <c r="T64" s="8">
        <f t="shared" si="14"/>
        <v>5.5555555555555552E-2</v>
      </c>
      <c r="U64" s="16">
        <v>0</v>
      </c>
      <c r="W64" s="15">
        <f t="shared" ref="W64:W66" si="18">R64+R70</f>
        <v>5.5555555555555566E-2</v>
      </c>
      <c r="X64" s="8">
        <f t="shared" si="15"/>
        <v>5.5555555555555552E-2</v>
      </c>
      <c r="Y64" s="8">
        <f t="shared" si="15"/>
        <v>5.5555555555555552E-2</v>
      </c>
      <c r="Z64" s="16">
        <f t="shared" si="15"/>
        <v>0</v>
      </c>
      <c r="AA64" s="23">
        <f t="shared" ref="AA64:AA66" si="19">SUM(W64:Z64)</f>
        <v>0.16666666666666669</v>
      </c>
      <c r="AC64" s="15">
        <f t="shared" si="16"/>
        <v>5.5555555555555566E-2</v>
      </c>
      <c r="AD64" s="8">
        <f t="shared" si="16"/>
        <v>5.5555555555555552E-2</v>
      </c>
      <c r="AE64" s="8">
        <f t="shared" si="16"/>
        <v>5.5555555555555552E-2</v>
      </c>
      <c r="AF64" s="8">
        <f t="shared" si="16"/>
        <v>0</v>
      </c>
      <c r="AG64" s="8">
        <v>0</v>
      </c>
      <c r="AH64" s="8">
        <v>0</v>
      </c>
      <c r="AI64" s="8">
        <v>0</v>
      </c>
      <c r="AJ64" s="16">
        <v>0</v>
      </c>
      <c r="AL64" s="15">
        <v>0</v>
      </c>
      <c r="AM64" s="8">
        <f>AA64</f>
        <v>0.16666666666666669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16">
        <v>0</v>
      </c>
    </row>
    <row r="65" spans="8:45" x14ac:dyDescent="0.3">
      <c r="H65">
        <v>3</v>
      </c>
      <c r="I65" s="17">
        <f t="shared" si="13"/>
        <v>5.5555555555555566E-2</v>
      </c>
      <c r="J65" s="18">
        <f t="shared" si="13"/>
        <v>5.5555555555555552E-2</v>
      </c>
      <c r="K65" s="19">
        <f t="shared" si="13"/>
        <v>5.5555555555555552E-2</v>
      </c>
      <c r="R65" s="15">
        <f t="shared" si="17"/>
        <v>5.5555555555555566E-2</v>
      </c>
      <c r="S65" s="8">
        <f t="shared" si="14"/>
        <v>5.5555555555555552E-2</v>
      </c>
      <c r="T65" s="8">
        <f t="shared" si="14"/>
        <v>5.5555555555555552E-2</v>
      </c>
      <c r="U65" s="16">
        <v>0</v>
      </c>
      <c r="W65" s="15">
        <f t="shared" si="18"/>
        <v>0.11111111111111113</v>
      </c>
      <c r="X65" s="8">
        <f t="shared" si="15"/>
        <v>5.5555555555555552E-2</v>
      </c>
      <c r="Y65" s="8">
        <f t="shared" si="15"/>
        <v>0.1111111111111111</v>
      </c>
      <c r="Z65" s="16">
        <f t="shared" si="15"/>
        <v>5.5555555555555552E-2</v>
      </c>
      <c r="AA65" s="23">
        <f t="shared" si="19"/>
        <v>0.33333333333333337</v>
      </c>
      <c r="AC65" s="15">
        <f t="shared" si="16"/>
        <v>0.11111111111111113</v>
      </c>
      <c r="AD65" s="8">
        <f t="shared" si="16"/>
        <v>5.5555555555555552E-2</v>
      </c>
      <c r="AE65" s="8">
        <f t="shared" si="16"/>
        <v>0.1111111111111111</v>
      </c>
      <c r="AF65" s="8">
        <f t="shared" si="16"/>
        <v>5.5555555555555552E-2</v>
      </c>
      <c r="AG65" s="8">
        <v>0</v>
      </c>
      <c r="AH65" s="8">
        <v>0</v>
      </c>
      <c r="AI65" s="8">
        <v>0</v>
      </c>
      <c r="AJ65" s="16">
        <v>0</v>
      </c>
      <c r="AL65" s="15">
        <v>0</v>
      </c>
      <c r="AM65" s="8">
        <v>0</v>
      </c>
      <c r="AN65" s="8">
        <f>AA65</f>
        <v>0.33333333333333337</v>
      </c>
      <c r="AO65" s="8">
        <v>0</v>
      </c>
      <c r="AP65" s="8">
        <v>0</v>
      </c>
      <c r="AQ65" s="8">
        <v>0</v>
      </c>
      <c r="AR65" s="8">
        <v>0</v>
      </c>
      <c r="AS65" s="16">
        <v>0</v>
      </c>
    </row>
    <row r="66" spans="8:45" x14ac:dyDescent="0.3">
      <c r="R66" s="17">
        <v>0</v>
      </c>
      <c r="S66" s="18">
        <v>0</v>
      </c>
      <c r="T66" s="18">
        <v>0</v>
      </c>
      <c r="U66" s="19">
        <v>0</v>
      </c>
      <c r="W66" s="17">
        <f t="shared" si="18"/>
        <v>5.5555555555555566E-2</v>
      </c>
      <c r="X66" s="18">
        <f t="shared" si="15"/>
        <v>0</v>
      </c>
      <c r="Y66" s="18">
        <f t="shared" si="15"/>
        <v>5.5555555555555552E-2</v>
      </c>
      <c r="Z66" s="19">
        <f t="shared" si="15"/>
        <v>5.5555555555555552E-2</v>
      </c>
      <c r="AA66" s="23">
        <f t="shared" si="19"/>
        <v>0.16666666666666669</v>
      </c>
      <c r="AC66" s="15">
        <f t="shared" si="16"/>
        <v>5.5555555555555566E-2</v>
      </c>
      <c r="AD66" s="8">
        <f t="shared" si="16"/>
        <v>0</v>
      </c>
      <c r="AE66" s="8">
        <f t="shared" si="16"/>
        <v>5.5555555555555552E-2</v>
      </c>
      <c r="AF66" s="8">
        <f t="shared" si="16"/>
        <v>5.5555555555555552E-2</v>
      </c>
      <c r="AG66" s="8">
        <v>0</v>
      </c>
      <c r="AH66" s="8">
        <v>0</v>
      </c>
      <c r="AI66" s="8">
        <v>0</v>
      </c>
      <c r="AJ66" s="16">
        <v>0</v>
      </c>
      <c r="AL66" s="15">
        <v>0</v>
      </c>
      <c r="AM66" s="8">
        <v>0</v>
      </c>
      <c r="AN66" s="8">
        <v>0</v>
      </c>
      <c r="AO66" s="8">
        <f>AA66</f>
        <v>0.16666666666666669</v>
      </c>
      <c r="AP66" s="8">
        <v>0</v>
      </c>
      <c r="AQ66" s="8">
        <v>0</v>
      </c>
      <c r="AR66" s="8">
        <v>0</v>
      </c>
      <c r="AS66" s="16">
        <v>0</v>
      </c>
    </row>
    <row r="67" spans="8:45" x14ac:dyDescent="0.3">
      <c r="I67" t="s">
        <v>35</v>
      </c>
      <c r="AC67" s="15">
        <v>0</v>
      </c>
      <c r="AD67" s="8">
        <v>0</v>
      </c>
      <c r="AE67" s="8">
        <v>0</v>
      </c>
      <c r="AF67" s="8">
        <v>0</v>
      </c>
      <c r="AG67" s="8">
        <f t="shared" ref="AG67:AJ70" si="20">W63</f>
        <v>0.11111111111111117</v>
      </c>
      <c r="AH67" s="8">
        <f t="shared" si="20"/>
        <v>5.5555555555555566E-2</v>
      </c>
      <c r="AI67" s="8">
        <f t="shared" si="20"/>
        <v>0.11111111111111113</v>
      </c>
      <c r="AJ67" s="16">
        <f t="shared" si="20"/>
        <v>5.5555555555555566E-2</v>
      </c>
      <c r="AL67" s="15">
        <v>0</v>
      </c>
      <c r="AM67" s="8">
        <v>0</v>
      </c>
      <c r="AN67" s="8">
        <v>0</v>
      </c>
      <c r="AO67" s="8">
        <v>0</v>
      </c>
      <c r="AP67" s="8">
        <f>AA63</f>
        <v>0.33333333333333348</v>
      </c>
      <c r="AQ67" s="8">
        <v>0</v>
      </c>
      <c r="AR67" s="8">
        <v>0</v>
      </c>
      <c r="AS67" s="16">
        <v>0</v>
      </c>
    </row>
    <row r="68" spans="8:45" x14ac:dyDescent="0.3">
      <c r="H68">
        <v>1</v>
      </c>
      <c r="I68" s="12">
        <f t="shared" ref="I68:K70" si="21">O46</f>
        <v>5.5555555555555587E-2</v>
      </c>
      <c r="J68" s="13">
        <f t="shared" si="21"/>
        <v>5.5555555555555566E-2</v>
      </c>
      <c r="K68" s="14">
        <f t="shared" si="21"/>
        <v>5.5555555555555566E-2</v>
      </c>
      <c r="R68" t="s">
        <v>53</v>
      </c>
      <c r="AC68" s="15">
        <v>0</v>
      </c>
      <c r="AD68" s="8">
        <v>0</v>
      </c>
      <c r="AE68" s="8">
        <v>0</v>
      </c>
      <c r="AF68" s="8">
        <v>0</v>
      </c>
      <c r="AG68" s="8">
        <f t="shared" si="20"/>
        <v>5.5555555555555566E-2</v>
      </c>
      <c r="AH68" s="8">
        <f t="shared" si="20"/>
        <v>5.5555555555555552E-2</v>
      </c>
      <c r="AI68" s="8">
        <f t="shared" si="20"/>
        <v>5.5555555555555552E-2</v>
      </c>
      <c r="AJ68" s="16">
        <f t="shared" si="20"/>
        <v>0</v>
      </c>
      <c r="AL68" s="15">
        <v>0</v>
      </c>
      <c r="AM68" s="8">
        <v>0</v>
      </c>
      <c r="AN68" s="8">
        <v>0</v>
      </c>
      <c r="AO68" s="8">
        <v>0</v>
      </c>
      <c r="AP68" s="8">
        <v>0</v>
      </c>
      <c r="AQ68" s="8">
        <f>AA64</f>
        <v>0.16666666666666669</v>
      </c>
      <c r="AR68" s="8">
        <v>0</v>
      </c>
      <c r="AS68" s="16">
        <v>0</v>
      </c>
    </row>
    <row r="69" spans="8:45" x14ac:dyDescent="0.3">
      <c r="H69">
        <v>3</v>
      </c>
      <c r="I69" s="15">
        <f t="shared" si="21"/>
        <v>5.5555555555555566E-2</v>
      </c>
      <c r="J69" s="8">
        <f t="shared" si="21"/>
        <v>5.5555555555555552E-2</v>
      </c>
      <c r="K69" s="16">
        <f t="shared" si="21"/>
        <v>5.5555555555555552E-2</v>
      </c>
      <c r="R69" s="12">
        <f>I68</f>
        <v>5.5555555555555587E-2</v>
      </c>
      <c r="S69" s="13">
        <v>0</v>
      </c>
      <c r="T69" s="13">
        <f>J68</f>
        <v>5.5555555555555566E-2</v>
      </c>
      <c r="U69" s="14">
        <f>K68</f>
        <v>5.5555555555555566E-2</v>
      </c>
      <c r="AC69" s="15">
        <v>0</v>
      </c>
      <c r="AD69" s="8">
        <v>0</v>
      </c>
      <c r="AE69" s="8">
        <v>0</v>
      </c>
      <c r="AF69" s="8">
        <v>0</v>
      </c>
      <c r="AG69" s="8">
        <f t="shared" si="20"/>
        <v>0.11111111111111113</v>
      </c>
      <c r="AH69" s="8">
        <f t="shared" si="20"/>
        <v>5.5555555555555552E-2</v>
      </c>
      <c r="AI69" s="8">
        <f t="shared" si="20"/>
        <v>0.1111111111111111</v>
      </c>
      <c r="AJ69" s="16">
        <f t="shared" si="20"/>
        <v>5.5555555555555552E-2</v>
      </c>
      <c r="AL69" s="15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f>AA65</f>
        <v>0.33333333333333337</v>
      </c>
      <c r="AS69" s="16">
        <v>0</v>
      </c>
    </row>
    <row r="70" spans="8:45" x14ac:dyDescent="0.3">
      <c r="H70">
        <v>4</v>
      </c>
      <c r="I70" s="17">
        <f t="shared" si="21"/>
        <v>5.5555555555555566E-2</v>
      </c>
      <c r="J70" s="18">
        <f t="shared" si="21"/>
        <v>5.5555555555555552E-2</v>
      </c>
      <c r="K70" s="19">
        <f t="shared" si="21"/>
        <v>5.5555555555555552E-2</v>
      </c>
      <c r="R70" s="15">
        <v>0</v>
      </c>
      <c r="S70" s="8">
        <v>0</v>
      </c>
      <c r="T70" s="8">
        <v>0</v>
      </c>
      <c r="U70" s="16">
        <v>0</v>
      </c>
      <c r="AC70" s="17">
        <v>0</v>
      </c>
      <c r="AD70" s="18">
        <v>0</v>
      </c>
      <c r="AE70" s="18">
        <v>0</v>
      </c>
      <c r="AF70" s="18">
        <v>0</v>
      </c>
      <c r="AG70" s="18">
        <f t="shared" si="20"/>
        <v>5.5555555555555566E-2</v>
      </c>
      <c r="AH70" s="18">
        <f t="shared" si="20"/>
        <v>0</v>
      </c>
      <c r="AI70" s="18">
        <f t="shared" si="20"/>
        <v>5.5555555555555552E-2</v>
      </c>
      <c r="AJ70" s="19">
        <f t="shared" si="20"/>
        <v>5.5555555555555552E-2</v>
      </c>
      <c r="AL70" s="17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9">
        <f>AA66</f>
        <v>0.16666666666666669</v>
      </c>
    </row>
    <row r="71" spans="8:45" x14ac:dyDescent="0.3">
      <c r="R71" s="15">
        <f>I69</f>
        <v>5.5555555555555566E-2</v>
      </c>
      <c r="S71" s="8">
        <v>0</v>
      </c>
      <c r="T71" s="8">
        <f>J69</f>
        <v>5.5555555555555552E-2</v>
      </c>
      <c r="U71" s="16">
        <f>K69</f>
        <v>5.5555555555555552E-2</v>
      </c>
    </row>
    <row r="72" spans="8:45" x14ac:dyDescent="0.3">
      <c r="R72" s="17">
        <f>I70</f>
        <v>5.5555555555555566E-2</v>
      </c>
      <c r="S72" s="18">
        <v>0</v>
      </c>
      <c r="T72" s="18">
        <f>J70</f>
        <v>5.5555555555555552E-2</v>
      </c>
      <c r="U72" s="19">
        <f>K70</f>
        <v>5.5555555555555552E-2</v>
      </c>
      <c r="AL72" t="s">
        <v>60</v>
      </c>
    </row>
    <row r="73" spans="8:45" x14ac:dyDescent="0.3">
      <c r="AL73">
        <f t="array" ref="AL73:AS80">MINVERSE(AL63:AS70)</f>
        <v>2.9999999999999987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8:45" x14ac:dyDescent="0.3">
      <c r="AL74">
        <v>0</v>
      </c>
      <c r="AM74">
        <v>5.9999999999999991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8:45" x14ac:dyDescent="0.3">
      <c r="AL75">
        <v>0</v>
      </c>
      <c r="AM75">
        <v>0</v>
      </c>
      <c r="AN75">
        <v>2.9999999999999996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8:45" x14ac:dyDescent="0.3">
      <c r="I76" t="s">
        <v>26</v>
      </c>
      <c r="W76" t="s">
        <v>57</v>
      </c>
      <c r="X76" t="s">
        <v>51</v>
      </c>
      <c r="AL76">
        <v>0</v>
      </c>
      <c r="AM76">
        <v>0</v>
      </c>
      <c r="AN76">
        <v>0</v>
      </c>
      <c r="AO76">
        <v>5.9999999999999991</v>
      </c>
      <c r="AP76">
        <v>0</v>
      </c>
      <c r="AQ76">
        <v>0</v>
      </c>
      <c r="AR76">
        <v>0</v>
      </c>
      <c r="AS76">
        <v>0</v>
      </c>
    </row>
    <row r="77" spans="8:45" x14ac:dyDescent="0.3">
      <c r="H77">
        <v>1</v>
      </c>
      <c r="I77" s="12">
        <f>V24*$H$294</f>
        <v>5.5408836910497999E-2</v>
      </c>
      <c r="J77" s="12">
        <f t="shared" ref="J77:K77" si="22">W24*$H$294</f>
        <v>-5.5408836910497999E-2</v>
      </c>
      <c r="K77" s="12">
        <f t="shared" si="22"/>
        <v>0</v>
      </c>
      <c r="M77" s="12">
        <f>I77</f>
        <v>5.5408836910497999E-2</v>
      </c>
      <c r="N77" s="12">
        <f t="shared" ref="N77:O79" si="23">J77</f>
        <v>-5.5408836910497999E-2</v>
      </c>
      <c r="O77" s="12">
        <f t="shared" si="23"/>
        <v>0</v>
      </c>
      <c r="P77" s="14">
        <v>0</v>
      </c>
      <c r="R77" s="12">
        <f>M77+M82</f>
        <v>0.11057707130319865</v>
      </c>
      <c r="S77" s="13">
        <f t="shared" ref="S77:U80" si="24">N77+N82</f>
        <v>-5.5408836910497999E-2</v>
      </c>
      <c r="T77" s="13">
        <f t="shared" si="24"/>
        <v>0</v>
      </c>
      <c r="U77" s="14">
        <f t="shared" si="24"/>
        <v>-5.5168234392700646E-2</v>
      </c>
      <c r="W77" s="12">
        <f>R77</f>
        <v>0.11057707130319865</v>
      </c>
      <c r="X77" s="13">
        <f t="shared" ref="X77:Z80" si="25">S77</f>
        <v>-5.5408836910497999E-2</v>
      </c>
      <c r="Y77" s="13">
        <f t="shared" si="25"/>
        <v>0</v>
      </c>
      <c r="Z77" s="13">
        <f t="shared" si="25"/>
        <v>-5.5168234392700646E-2</v>
      </c>
      <c r="AA77" s="13">
        <v>0</v>
      </c>
      <c r="AB77" s="13">
        <v>0</v>
      </c>
      <c r="AC77" s="13">
        <v>0</v>
      </c>
      <c r="AD77" s="14">
        <v>0</v>
      </c>
      <c r="AL77">
        <v>0</v>
      </c>
      <c r="AM77">
        <v>0</v>
      </c>
      <c r="AN77">
        <v>0</v>
      </c>
      <c r="AO77">
        <v>0</v>
      </c>
      <c r="AP77">
        <v>2.9999999999999987</v>
      </c>
      <c r="AQ77">
        <v>0</v>
      </c>
      <c r="AR77">
        <v>0</v>
      </c>
      <c r="AS77">
        <v>0</v>
      </c>
    </row>
    <row r="78" spans="8:45" x14ac:dyDescent="0.3">
      <c r="H78">
        <v>2</v>
      </c>
      <c r="I78" s="12">
        <f t="shared" ref="I78:I79" si="26">V25*$H$294</f>
        <v>-5.5408836910497999E-2</v>
      </c>
      <c r="J78" s="12">
        <f t="shared" ref="J78:J79" si="27">W25*$H$294</f>
        <v>0.110817673820996</v>
      </c>
      <c r="K78" s="12">
        <f t="shared" ref="K78:K79" si="28">X25*$H$294</f>
        <v>-5.5408836910497999E-2</v>
      </c>
      <c r="M78" s="12">
        <f t="shared" ref="M78:M79" si="29">I78</f>
        <v>-5.5408836910497999E-2</v>
      </c>
      <c r="N78" s="12">
        <f t="shared" si="23"/>
        <v>0.110817673820996</v>
      </c>
      <c r="O78" s="12">
        <f t="shared" si="23"/>
        <v>-5.5408836910497999E-2</v>
      </c>
      <c r="P78" s="16">
        <v>0</v>
      </c>
      <c r="R78" s="15">
        <f t="shared" ref="R78:R80" si="30">M78+M83</f>
        <v>-5.5408836910497999E-2</v>
      </c>
      <c r="S78" s="8">
        <f t="shared" si="24"/>
        <v>0.110817673820996</v>
      </c>
      <c r="T78" s="8">
        <f t="shared" si="24"/>
        <v>-5.5408836910497999E-2</v>
      </c>
      <c r="U78" s="16">
        <f t="shared" si="24"/>
        <v>0</v>
      </c>
      <c r="W78" s="15">
        <f t="shared" ref="W78:W80" si="31">R78</f>
        <v>-5.5408836910497999E-2</v>
      </c>
      <c r="X78" s="8">
        <f t="shared" si="25"/>
        <v>0.110817673820996</v>
      </c>
      <c r="Y78" s="8">
        <f t="shared" si="25"/>
        <v>-5.5408836910497999E-2</v>
      </c>
      <c r="Z78" s="8">
        <f t="shared" si="25"/>
        <v>0</v>
      </c>
      <c r="AA78" s="8">
        <v>0</v>
      </c>
      <c r="AB78" s="8">
        <v>0</v>
      </c>
      <c r="AC78" s="8">
        <v>0</v>
      </c>
      <c r="AD78" s="16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5.9999999999999991</v>
      </c>
      <c r="AR78">
        <v>0</v>
      </c>
      <c r="AS78">
        <v>0</v>
      </c>
    </row>
    <row r="79" spans="8:45" x14ac:dyDescent="0.3">
      <c r="H79">
        <v>3</v>
      </c>
      <c r="I79" s="12">
        <f t="shared" si="26"/>
        <v>0</v>
      </c>
      <c r="J79" s="12">
        <f t="shared" si="27"/>
        <v>-5.5408836910497999E-2</v>
      </c>
      <c r="K79" s="12">
        <f t="shared" si="28"/>
        <v>5.5408836910497999E-2</v>
      </c>
      <c r="M79" s="12">
        <f t="shared" si="29"/>
        <v>0</v>
      </c>
      <c r="N79" s="12">
        <f t="shared" si="23"/>
        <v>-5.5408836910497999E-2</v>
      </c>
      <c r="O79" s="12">
        <f t="shared" si="23"/>
        <v>5.5408836910497999E-2</v>
      </c>
      <c r="P79" s="16">
        <v>0</v>
      </c>
      <c r="R79" s="15">
        <f t="shared" si="30"/>
        <v>0</v>
      </c>
      <c r="S79" s="8">
        <f t="shared" si="24"/>
        <v>-5.5408836910497999E-2</v>
      </c>
      <c r="T79" s="8">
        <f t="shared" si="24"/>
        <v>0.11057707130319865</v>
      </c>
      <c r="U79" s="16">
        <f t="shared" si="24"/>
        <v>-5.5168234392700646E-2</v>
      </c>
      <c r="W79" s="15">
        <f t="shared" si="31"/>
        <v>0</v>
      </c>
      <c r="X79" s="8">
        <f t="shared" si="25"/>
        <v>-5.5408836910497999E-2</v>
      </c>
      <c r="Y79" s="8">
        <f t="shared" si="25"/>
        <v>0.11057707130319865</v>
      </c>
      <c r="Z79" s="8">
        <f t="shared" si="25"/>
        <v>-5.5168234392700646E-2</v>
      </c>
      <c r="AA79" s="8">
        <v>0</v>
      </c>
      <c r="AB79" s="8">
        <v>0</v>
      </c>
      <c r="AC79" s="8">
        <v>0</v>
      </c>
      <c r="AD79" s="16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2.9999999999999996</v>
      </c>
      <c r="AS79">
        <v>0</v>
      </c>
    </row>
    <row r="80" spans="8:45" x14ac:dyDescent="0.3">
      <c r="M80" s="17">
        <v>0</v>
      </c>
      <c r="N80" s="18">
        <v>0</v>
      </c>
      <c r="O80" s="18">
        <v>0</v>
      </c>
      <c r="P80" s="19">
        <v>0</v>
      </c>
      <c r="R80" s="17">
        <f t="shared" si="30"/>
        <v>-5.5168234392700646E-2</v>
      </c>
      <c r="S80" s="18">
        <f t="shared" si="24"/>
        <v>0</v>
      </c>
      <c r="T80" s="18">
        <f t="shared" si="24"/>
        <v>-5.5168234392700646E-2</v>
      </c>
      <c r="U80" s="19">
        <f t="shared" si="24"/>
        <v>0.11033646878540129</v>
      </c>
      <c r="W80" s="15">
        <f t="shared" si="31"/>
        <v>-5.5168234392700646E-2</v>
      </c>
      <c r="X80" s="8">
        <f t="shared" si="25"/>
        <v>0</v>
      </c>
      <c r="Y80" s="8">
        <f t="shared" si="25"/>
        <v>-5.5168234392700646E-2</v>
      </c>
      <c r="Z80" s="8">
        <f t="shared" si="25"/>
        <v>0.11033646878540129</v>
      </c>
      <c r="AA80" s="8">
        <v>0</v>
      </c>
      <c r="AB80" s="8">
        <v>0</v>
      </c>
      <c r="AC80" s="8">
        <v>0</v>
      </c>
      <c r="AD80" s="16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5.9999999999999991</v>
      </c>
    </row>
    <row r="81" spans="1:30" x14ac:dyDescent="0.3">
      <c r="I81" t="s">
        <v>27</v>
      </c>
      <c r="W81" s="15">
        <v>0</v>
      </c>
      <c r="X81" s="8">
        <v>0</v>
      </c>
      <c r="Y81" s="8">
        <v>0</v>
      </c>
      <c r="Z81" s="8">
        <v>0</v>
      </c>
      <c r="AA81" s="8">
        <f>R77</f>
        <v>0.11057707130319865</v>
      </c>
      <c r="AB81" s="8">
        <f t="shared" ref="AB81:AD84" si="32">S77</f>
        <v>-5.5408836910497999E-2</v>
      </c>
      <c r="AC81" s="8">
        <f t="shared" si="32"/>
        <v>0</v>
      </c>
      <c r="AD81" s="16">
        <f t="shared" si="32"/>
        <v>-5.5168234392700646E-2</v>
      </c>
    </row>
    <row r="82" spans="1:30" x14ac:dyDescent="0.3">
      <c r="H82">
        <v>1</v>
      </c>
      <c r="I82" s="12">
        <f>V50*$J$294</f>
        <v>5.5168234392700646E-2</v>
      </c>
      <c r="J82" s="12">
        <f t="shared" ref="J82:K82" si="33">W50*$J$294</f>
        <v>0</v>
      </c>
      <c r="K82" s="12">
        <f t="shared" si="33"/>
        <v>-5.5168234392700646E-2</v>
      </c>
      <c r="M82" s="12">
        <f>I82</f>
        <v>5.5168234392700646E-2</v>
      </c>
      <c r="N82" s="13">
        <v>0</v>
      </c>
      <c r="O82" s="13">
        <f>J82</f>
        <v>0</v>
      </c>
      <c r="P82" s="13">
        <f>K82</f>
        <v>-5.5168234392700646E-2</v>
      </c>
      <c r="W82" s="15">
        <v>0</v>
      </c>
      <c r="X82" s="8">
        <v>0</v>
      </c>
      <c r="Y82" s="8">
        <v>0</v>
      </c>
      <c r="Z82" s="8">
        <v>0</v>
      </c>
      <c r="AA82" s="8">
        <f t="shared" ref="AA82:AA84" si="34">R78</f>
        <v>-5.5408836910497999E-2</v>
      </c>
      <c r="AB82" s="8">
        <f t="shared" si="32"/>
        <v>0.110817673820996</v>
      </c>
      <c r="AC82" s="8">
        <f t="shared" si="32"/>
        <v>-5.5408836910497999E-2</v>
      </c>
      <c r="AD82" s="16">
        <f t="shared" si="32"/>
        <v>0</v>
      </c>
    </row>
    <row r="83" spans="1:30" x14ac:dyDescent="0.3">
      <c r="H83">
        <v>3</v>
      </c>
      <c r="I83" s="12">
        <f t="shared" ref="I83:I84" si="35">V51*$J$294</f>
        <v>0</v>
      </c>
      <c r="J83" s="12">
        <f t="shared" ref="J83:J84" si="36">W51*$J$294</f>
        <v>5.5168234392700646E-2</v>
      </c>
      <c r="K83" s="12">
        <f t="shared" ref="K83:K84" si="37">X51*$J$294</f>
        <v>-5.5168234392700646E-2</v>
      </c>
      <c r="M83" s="15">
        <v>0</v>
      </c>
      <c r="N83" s="8">
        <v>0</v>
      </c>
      <c r="O83" s="8">
        <v>0</v>
      </c>
      <c r="P83" s="16">
        <v>0</v>
      </c>
      <c r="W83" s="15">
        <v>0</v>
      </c>
      <c r="X83" s="8">
        <v>0</v>
      </c>
      <c r="Y83" s="8">
        <v>0</v>
      </c>
      <c r="Z83" s="8">
        <v>0</v>
      </c>
      <c r="AA83" s="8">
        <f t="shared" si="34"/>
        <v>0</v>
      </c>
      <c r="AB83" s="8">
        <f t="shared" si="32"/>
        <v>-5.5408836910497999E-2</v>
      </c>
      <c r="AC83" s="8">
        <f t="shared" si="32"/>
        <v>0.11057707130319865</v>
      </c>
      <c r="AD83" s="16">
        <f t="shared" si="32"/>
        <v>-5.5168234392700646E-2</v>
      </c>
    </row>
    <row r="84" spans="1:30" x14ac:dyDescent="0.3">
      <c r="H84">
        <v>4</v>
      </c>
      <c r="I84" s="12">
        <f t="shared" si="35"/>
        <v>-5.5168234392700646E-2</v>
      </c>
      <c r="J84" s="12">
        <f t="shared" si="36"/>
        <v>-5.5168234392700646E-2</v>
      </c>
      <c r="K84" s="12">
        <f t="shared" si="37"/>
        <v>0.11033646878540129</v>
      </c>
      <c r="M84" s="15">
        <v>0</v>
      </c>
      <c r="N84" s="23">
        <v>0</v>
      </c>
      <c r="O84" s="8">
        <f>J83</f>
        <v>5.5168234392700646E-2</v>
      </c>
      <c r="P84" s="8">
        <f>K83</f>
        <v>-5.5168234392700646E-2</v>
      </c>
      <c r="W84" s="17">
        <v>0</v>
      </c>
      <c r="X84" s="18">
        <v>0</v>
      </c>
      <c r="Y84" s="18">
        <v>0</v>
      </c>
      <c r="Z84" s="18">
        <v>0</v>
      </c>
      <c r="AA84" s="18">
        <f t="shared" si="34"/>
        <v>-5.5168234392700646E-2</v>
      </c>
      <c r="AB84" s="18">
        <f t="shared" si="32"/>
        <v>0</v>
      </c>
      <c r="AC84" s="18">
        <f t="shared" si="32"/>
        <v>-5.5168234392700646E-2</v>
      </c>
      <c r="AD84" s="19">
        <f t="shared" si="32"/>
        <v>0.11033646878540129</v>
      </c>
    </row>
    <row r="85" spans="1:30" x14ac:dyDescent="0.3">
      <c r="M85" s="15">
        <f>I84</f>
        <v>-5.5168234392700646E-2</v>
      </c>
      <c r="N85" s="18">
        <v>0</v>
      </c>
      <c r="O85" s="8">
        <f>J84</f>
        <v>-5.5168234392700646E-2</v>
      </c>
      <c r="P85" s="8">
        <f>K84</f>
        <v>0.11033646878540129</v>
      </c>
    </row>
    <row r="86" spans="1:30" x14ac:dyDescent="0.3">
      <c r="A86" t="s">
        <v>86</v>
      </c>
      <c r="J86" t="s">
        <v>85</v>
      </c>
    </row>
    <row r="87" spans="1:30" x14ac:dyDescent="0.3">
      <c r="A87" t="s">
        <v>38</v>
      </c>
      <c r="J87" t="s">
        <v>41</v>
      </c>
      <c r="K87" t="s">
        <v>42</v>
      </c>
    </row>
    <row r="88" spans="1:30" x14ac:dyDescent="0.3">
      <c r="H88" t="s">
        <v>43</v>
      </c>
      <c r="J88" s="36">
        <f>(C187+C189+C191)/3</f>
        <v>0.39539316720164369</v>
      </c>
      <c r="K88" s="36">
        <f>(C188+C190+C192)/3</f>
        <v>-0.10683818110632703</v>
      </c>
    </row>
    <row r="89" spans="1:30" x14ac:dyDescent="0.3">
      <c r="H89" t="s">
        <v>39</v>
      </c>
      <c r="L89" t="s">
        <v>36</v>
      </c>
    </row>
    <row r="90" spans="1:30" x14ac:dyDescent="0.3">
      <c r="H90" s="12">
        <f t="array" ref="H90:J92">P41*MMULT(I20:I22,E24:G24)</f>
        <v>-0.16666666666666671</v>
      </c>
      <c r="I90" s="13">
        <v>0.16666666666666671</v>
      </c>
      <c r="J90" s="14">
        <v>0</v>
      </c>
      <c r="K90">
        <v>1</v>
      </c>
      <c r="L90" s="12">
        <f t="array" ref="L90">$J$88*H90+$K$88*H95</f>
        <v>-6.5898861200273967E-2</v>
      </c>
      <c r="M90" s="13">
        <f t="shared" ref="M90:N92" si="38">$J$88*I90+$K$88*I95</f>
        <v>8.3705224717995144E-2</v>
      </c>
      <c r="N90" s="14">
        <f t="shared" si="38"/>
        <v>-1.7806363517721177E-2</v>
      </c>
    </row>
    <row r="91" spans="1:30" x14ac:dyDescent="0.3">
      <c r="H91" s="15">
        <v>-0.16666666666666666</v>
      </c>
      <c r="I91" s="8">
        <v>0.16666666666666666</v>
      </c>
      <c r="J91" s="16">
        <v>0</v>
      </c>
      <c r="K91">
        <v>2</v>
      </c>
      <c r="L91" s="15">
        <f t="shared" ref="L91:L92" si="39">$J$88*H91+$K$88*H96</f>
        <v>-6.5898861200273939E-2</v>
      </c>
      <c r="M91" s="8">
        <f t="shared" si="38"/>
        <v>8.3705224717995103E-2</v>
      </c>
      <c r="N91" s="16">
        <f t="shared" si="38"/>
        <v>-1.780636351772117E-2</v>
      </c>
    </row>
    <row r="92" spans="1:30" x14ac:dyDescent="0.3">
      <c r="H92" s="17">
        <v>-0.16666666666666666</v>
      </c>
      <c r="I92" s="18">
        <v>0.16666666666666666</v>
      </c>
      <c r="J92" s="19">
        <v>0</v>
      </c>
      <c r="K92">
        <v>3</v>
      </c>
      <c r="L92" s="17">
        <f t="shared" si="39"/>
        <v>-6.5898861200273939E-2</v>
      </c>
      <c r="M92" s="18">
        <f t="shared" si="38"/>
        <v>8.3705224717995103E-2</v>
      </c>
      <c r="N92" s="19">
        <f t="shared" si="38"/>
        <v>-1.780636351772117E-2</v>
      </c>
    </row>
    <row r="94" spans="1:30" x14ac:dyDescent="0.3">
      <c r="H94" t="s">
        <v>40</v>
      </c>
      <c r="L94" s="12">
        <f>L90</f>
        <v>-6.5898861200273967E-2</v>
      </c>
      <c r="M94" s="12">
        <f t="shared" ref="M94:N94" si="40">M90</f>
        <v>8.3705224717995144E-2</v>
      </c>
      <c r="N94" s="12">
        <f t="shared" si="40"/>
        <v>-1.7806363517721177E-2</v>
      </c>
      <c r="O94" s="14">
        <v>0</v>
      </c>
      <c r="Q94" s="12">
        <f>L94+L106</f>
        <v>-8.4722011985487941E-2</v>
      </c>
      <c r="R94" s="12">
        <f t="shared" ref="R94:T97" si="41">M94+M106</f>
        <v>8.3705224717995144E-2</v>
      </c>
      <c r="S94" s="12">
        <f t="shared" si="41"/>
        <v>8.2485094747855744E-2</v>
      </c>
      <c r="T94" s="12">
        <f t="shared" si="41"/>
        <v>-8.1468307480362948E-2</v>
      </c>
    </row>
    <row r="95" spans="1:30" x14ac:dyDescent="0.3">
      <c r="H95" s="12">
        <f t="array" ref="H95:J97">P15*MMULT(I20:I22,E25:G25)</f>
        <v>0</v>
      </c>
      <c r="I95" s="13">
        <v>-0.16666666666666671</v>
      </c>
      <c r="J95" s="14">
        <v>0.16666666666666671</v>
      </c>
      <c r="L95" s="12">
        <f t="shared" ref="L95:N96" si="42">L91</f>
        <v>-6.5898861200273939E-2</v>
      </c>
      <c r="M95" s="12">
        <f t="shared" si="42"/>
        <v>8.3705224717995103E-2</v>
      </c>
      <c r="N95" s="12">
        <f t="shared" si="42"/>
        <v>-1.780636351772117E-2</v>
      </c>
      <c r="O95" s="16">
        <v>0</v>
      </c>
      <c r="Q95" s="12">
        <f t="shared" ref="Q95:Q97" si="43">L95+L107</f>
        <v>-6.5898861200273939E-2</v>
      </c>
      <c r="R95" s="12">
        <f t="shared" si="41"/>
        <v>8.3705224717995103E-2</v>
      </c>
      <c r="S95" s="12">
        <f t="shared" si="41"/>
        <v>-1.780636351772117E-2</v>
      </c>
      <c r="T95" s="12">
        <f t="shared" si="41"/>
        <v>0</v>
      </c>
    </row>
    <row r="96" spans="1:30" x14ac:dyDescent="0.3">
      <c r="H96" s="15">
        <v>0</v>
      </c>
      <c r="I96" s="8">
        <v>-0.16666666666666666</v>
      </c>
      <c r="J96" s="16">
        <v>0.16666666666666666</v>
      </c>
      <c r="L96" s="12">
        <f t="shared" si="42"/>
        <v>-6.5898861200273939E-2</v>
      </c>
      <c r="M96" s="12">
        <f t="shared" si="42"/>
        <v>8.3705224717995103E-2</v>
      </c>
      <c r="N96" s="12">
        <f t="shared" si="42"/>
        <v>-1.780636351772117E-2</v>
      </c>
      <c r="O96" s="16">
        <v>0</v>
      </c>
      <c r="Q96" s="12">
        <f t="shared" si="43"/>
        <v>-8.4722011985487899E-2</v>
      </c>
      <c r="R96" s="12">
        <f t="shared" si="41"/>
        <v>8.3705224717995103E-2</v>
      </c>
      <c r="S96" s="12">
        <f t="shared" si="41"/>
        <v>8.2485094747855731E-2</v>
      </c>
      <c r="T96" s="12">
        <f t="shared" si="41"/>
        <v>-8.1468307480362934E-2</v>
      </c>
    </row>
    <row r="97" spans="8:24" x14ac:dyDescent="0.3">
      <c r="H97" s="17">
        <v>0</v>
      </c>
      <c r="I97" s="18">
        <v>-0.16666666666666666</v>
      </c>
      <c r="J97" s="19">
        <v>0.16666666666666666</v>
      </c>
      <c r="L97" s="17">
        <v>0</v>
      </c>
      <c r="M97" s="18">
        <v>0</v>
      </c>
      <c r="N97" s="18">
        <v>0</v>
      </c>
      <c r="O97" s="19">
        <v>0</v>
      </c>
      <c r="Q97" s="12">
        <f t="shared" si="43"/>
        <v>-1.8823150785213967E-2</v>
      </c>
      <c r="R97" s="12">
        <f t="shared" si="41"/>
        <v>0</v>
      </c>
      <c r="S97" s="12">
        <f t="shared" si="41"/>
        <v>0.10029145826557689</v>
      </c>
      <c r="T97" s="12">
        <f t="shared" si="41"/>
        <v>-8.1468307480362934E-2</v>
      </c>
    </row>
    <row r="99" spans="8:24" x14ac:dyDescent="0.3">
      <c r="J99" t="s">
        <v>41</v>
      </c>
      <c r="K99" t="s">
        <v>42</v>
      </c>
    </row>
    <row r="100" spans="8:24" x14ac:dyDescent="0.3">
      <c r="H100" t="s">
        <v>44</v>
      </c>
      <c r="J100" s="36">
        <f>(C187+C191+C193)/3</f>
        <v>0.60174874959346136</v>
      </c>
      <c r="K100" s="36">
        <f>(C188+C192+C194)/3</f>
        <v>0.11293890471128382</v>
      </c>
    </row>
    <row r="101" spans="8:24" x14ac:dyDescent="0.3">
      <c r="H101" t="s">
        <v>39</v>
      </c>
      <c r="L101" t="s">
        <v>45</v>
      </c>
      <c r="Q101" t="s">
        <v>56</v>
      </c>
      <c r="R101" t="s">
        <v>51</v>
      </c>
    </row>
    <row r="102" spans="8:24" x14ac:dyDescent="0.3">
      <c r="H102" s="12">
        <f t="array" ref="H102:J104">P41*MMULT(I46:I48,E50:G50)</f>
        <v>0</v>
      </c>
      <c r="I102" s="13">
        <v>0.16666666666666671</v>
      </c>
      <c r="J102" s="14">
        <v>-0.16666666666666671</v>
      </c>
      <c r="K102">
        <v>1</v>
      </c>
      <c r="L102" s="12">
        <f>$J$100*H102+$K$100*H107</f>
        <v>-1.8823150785213974E-2</v>
      </c>
      <c r="M102" s="12">
        <f t="shared" ref="M102:N104" si="44">$J$100*I102+$K$100*I107</f>
        <v>0.10029145826557692</v>
      </c>
      <c r="N102" s="12">
        <f t="shared" si="44"/>
        <v>-8.1468307480362948E-2</v>
      </c>
      <c r="Q102" s="12">
        <f>Q94</f>
        <v>-8.4722011985487941E-2</v>
      </c>
      <c r="R102" s="13">
        <f t="shared" ref="R102:T102" si="45">R94</f>
        <v>8.3705224717995144E-2</v>
      </c>
      <c r="S102" s="13">
        <f t="shared" si="45"/>
        <v>8.2485094747855744E-2</v>
      </c>
      <c r="T102" s="13">
        <f t="shared" si="45"/>
        <v>-8.1468307480362948E-2</v>
      </c>
      <c r="U102" s="13">
        <v>0</v>
      </c>
      <c r="V102" s="13">
        <v>0</v>
      </c>
      <c r="W102" s="13">
        <v>0</v>
      </c>
      <c r="X102" s="14">
        <v>0</v>
      </c>
    </row>
    <row r="103" spans="8:24" x14ac:dyDescent="0.3">
      <c r="H103" s="15">
        <v>0</v>
      </c>
      <c r="I103" s="8">
        <v>0.16666666666666666</v>
      </c>
      <c r="J103" s="16">
        <v>-0.16666666666666666</v>
      </c>
      <c r="K103">
        <v>3</v>
      </c>
      <c r="L103" s="12">
        <f t="shared" ref="L103:L104" si="46">$J$100*H103+$K$100*H108</f>
        <v>-1.8823150785213967E-2</v>
      </c>
      <c r="M103" s="12">
        <f t="shared" si="44"/>
        <v>0.10029145826557689</v>
      </c>
      <c r="N103" s="12">
        <f t="shared" si="44"/>
        <v>-8.1468307480362934E-2</v>
      </c>
      <c r="Q103" s="15">
        <f t="shared" ref="Q103:T105" si="47">Q95</f>
        <v>-6.5898861200273939E-2</v>
      </c>
      <c r="R103" s="8">
        <f t="shared" si="47"/>
        <v>8.3705224717995103E-2</v>
      </c>
      <c r="S103" s="8">
        <f t="shared" si="47"/>
        <v>-1.780636351772117E-2</v>
      </c>
      <c r="T103" s="8">
        <f t="shared" si="47"/>
        <v>0</v>
      </c>
      <c r="U103" s="8">
        <v>0</v>
      </c>
      <c r="V103" s="8">
        <v>0</v>
      </c>
      <c r="W103" s="8">
        <v>0</v>
      </c>
      <c r="X103" s="16">
        <v>0</v>
      </c>
    </row>
    <row r="104" spans="8:24" x14ac:dyDescent="0.3">
      <c r="H104" s="17">
        <v>0</v>
      </c>
      <c r="I104" s="18">
        <v>0.16666666666666666</v>
      </c>
      <c r="J104" s="19">
        <v>-0.16666666666666666</v>
      </c>
      <c r="K104">
        <v>4</v>
      </c>
      <c r="L104" s="12">
        <f t="shared" si="46"/>
        <v>-1.8823150785213967E-2</v>
      </c>
      <c r="M104" s="12">
        <f t="shared" si="44"/>
        <v>0.10029145826557689</v>
      </c>
      <c r="N104" s="12">
        <f t="shared" si="44"/>
        <v>-8.1468307480362934E-2</v>
      </c>
      <c r="Q104" s="15">
        <f t="shared" si="47"/>
        <v>-8.4722011985487899E-2</v>
      </c>
      <c r="R104" s="8">
        <f t="shared" si="47"/>
        <v>8.3705224717995103E-2</v>
      </c>
      <c r="S104" s="8">
        <f t="shared" si="47"/>
        <v>8.2485094747855731E-2</v>
      </c>
      <c r="T104" s="8">
        <f t="shared" si="47"/>
        <v>-8.1468307480362934E-2</v>
      </c>
      <c r="U104" s="8">
        <v>0</v>
      </c>
      <c r="V104" s="8">
        <v>0</v>
      </c>
      <c r="W104" s="8">
        <v>0</v>
      </c>
      <c r="X104" s="16">
        <v>0</v>
      </c>
    </row>
    <row r="105" spans="8:24" x14ac:dyDescent="0.3">
      <c r="Q105" s="15">
        <f t="shared" si="47"/>
        <v>-1.8823150785213967E-2</v>
      </c>
      <c r="R105" s="8">
        <f t="shared" si="47"/>
        <v>0</v>
      </c>
      <c r="S105" s="8">
        <f t="shared" si="47"/>
        <v>0.10029145826557689</v>
      </c>
      <c r="T105" s="8">
        <f t="shared" si="47"/>
        <v>-8.1468307480362934E-2</v>
      </c>
      <c r="U105" s="8">
        <v>0</v>
      </c>
      <c r="V105" s="8">
        <v>0</v>
      </c>
      <c r="W105" s="8">
        <v>0</v>
      </c>
      <c r="X105" s="16">
        <v>0</v>
      </c>
    </row>
    <row r="106" spans="8:24" x14ac:dyDescent="0.3">
      <c r="H106" t="s">
        <v>40</v>
      </c>
      <c r="L106" s="12">
        <f>L102</f>
        <v>-1.8823150785213974E-2</v>
      </c>
      <c r="M106" s="12">
        <v>0</v>
      </c>
      <c r="N106" s="12">
        <f>M102</f>
        <v>0.10029145826557692</v>
      </c>
      <c r="O106" s="12">
        <f>N102</f>
        <v>-8.1468307480362948E-2</v>
      </c>
      <c r="Q106" s="15">
        <v>0</v>
      </c>
      <c r="R106" s="8">
        <v>0</v>
      </c>
      <c r="S106" s="8">
        <v>0</v>
      </c>
      <c r="T106" s="8">
        <v>0</v>
      </c>
      <c r="U106" s="8">
        <f>Q94</f>
        <v>-8.4722011985487941E-2</v>
      </c>
      <c r="V106" s="8">
        <f t="shared" ref="V106:X109" si="48">R94</f>
        <v>8.3705224717995144E-2</v>
      </c>
      <c r="W106" s="8">
        <f t="shared" si="48"/>
        <v>8.2485094747855744E-2</v>
      </c>
      <c r="X106" s="16">
        <f t="shared" si="48"/>
        <v>-8.1468307480362948E-2</v>
      </c>
    </row>
    <row r="107" spans="8:24" x14ac:dyDescent="0.3">
      <c r="H107" s="12">
        <f t="array" ref="H107:J109">P41*MMULT(I46:I48,E51:G51)</f>
        <v>-0.16666666666666671</v>
      </c>
      <c r="I107" s="13">
        <v>0</v>
      </c>
      <c r="J107" s="14">
        <v>0.16666666666666671</v>
      </c>
      <c r="L107" s="12">
        <v>0</v>
      </c>
      <c r="M107" s="12">
        <v>0</v>
      </c>
      <c r="N107" s="12">
        <v>0</v>
      </c>
      <c r="O107" s="16">
        <v>0</v>
      </c>
      <c r="Q107" s="15">
        <v>0</v>
      </c>
      <c r="R107" s="8">
        <v>0</v>
      </c>
      <c r="S107" s="8">
        <v>0</v>
      </c>
      <c r="T107" s="8">
        <v>0</v>
      </c>
      <c r="U107" s="8">
        <f t="shared" ref="U107:U109" si="49">Q95</f>
        <v>-6.5898861200273939E-2</v>
      </c>
      <c r="V107" s="8">
        <f t="shared" si="48"/>
        <v>8.3705224717995103E-2</v>
      </c>
      <c r="W107" s="8">
        <f t="shared" si="48"/>
        <v>-1.780636351772117E-2</v>
      </c>
      <c r="X107" s="16">
        <f t="shared" si="48"/>
        <v>0</v>
      </c>
    </row>
    <row r="108" spans="8:24" x14ac:dyDescent="0.3">
      <c r="H108" s="15">
        <v>-0.16666666666666666</v>
      </c>
      <c r="I108" s="8">
        <v>0</v>
      </c>
      <c r="J108" s="16">
        <v>0.16666666666666666</v>
      </c>
      <c r="L108" s="12">
        <f>L103</f>
        <v>-1.8823150785213967E-2</v>
      </c>
      <c r="M108" s="12">
        <v>0</v>
      </c>
      <c r="N108" s="12">
        <f>M103</f>
        <v>0.10029145826557689</v>
      </c>
      <c r="O108" s="12">
        <f>N103</f>
        <v>-8.1468307480362934E-2</v>
      </c>
      <c r="Q108" s="15">
        <v>0</v>
      </c>
      <c r="R108" s="8">
        <v>0</v>
      </c>
      <c r="S108" s="8">
        <v>0</v>
      </c>
      <c r="T108" s="8">
        <v>0</v>
      </c>
      <c r="U108" s="8">
        <f t="shared" si="49"/>
        <v>-8.4722011985487899E-2</v>
      </c>
      <c r="V108" s="8">
        <f t="shared" si="48"/>
        <v>8.3705224717995103E-2</v>
      </c>
      <c r="W108" s="8">
        <f t="shared" si="48"/>
        <v>8.2485094747855731E-2</v>
      </c>
      <c r="X108" s="16">
        <f t="shared" si="48"/>
        <v>-8.1468307480362934E-2</v>
      </c>
    </row>
    <row r="109" spans="8:24" x14ac:dyDescent="0.3">
      <c r="H109" s="17">
        <v>-0.16666666666666666</v>
      </c>
      <c r="I109" s="18">
        <v>0</v>
      </c>
      <c r="J109" s="19">
        <v>0.16666666666666666</v>
      </c>
      <c r="L109" s="12">
        <f>L104</f>
        <v>-1.8823150785213967E-2</v>
      </c>
      <c r="M109" s="18">
        <v>0</v>
      </c>
      <c r="N109" s="12">
        <f>M104</f>
        <v>0.10029145826557689</v>
      </c>
      <c r="O109" s="12">
        <f>N104</f>
        <v>-8.1468307480362934E-2</v>
      </c>
      <c r="Q109" s="17">
        <v>0</v>
      </c>
      <c r="R109" s="18">
        <v>0</v>
      </c>
      <c r="S109" s="18">
        <v>0</v>
      </c>
      <c r="T109" s="18">
        <v>0</v>
      </c>
      <c r="U109" s="18">
        <f t="shared" si="49"/>
        <v>-1.8823150785213967E-2</v>
      </c>
      <c r="V109" s="18">
        <v>0</v>
      </c>
      <c r="W109" s="18">
        <f t="shared" si="48"/>
        <v>0.10029145826557689</v>
      </c>
      <c r="X109" s="19">
        <f t="shared" si="48"/>
        <v>-8.1468307480362934E-2</v>
      </c>
    </row>
    <row r="113" spans="11:21" x14ac:dyDescent="0.3">
      <c r="K113" t="s">
        <v>50</v>
      </c>
    </row>
    <row r="114" spans="11:21" x14ac:dyDescent="0.3">
      <c r="K114" s="26">
        <v>1</v>
      </c>
      <c r="L114" s="26"/>
      <c r="M114" s="26">
        <v>2</v>
      </c>
      <c r="N114" s="26"/>
      <c r="O114" s="26">
        <v>3</v>
      </c>
    </row>
    <row r="115" spans="11:21" x14ac:dyDescent="0.3">
      <c r="K115">
        <f>O24</f>
        <v>-1</v>
      </c>
      <c r="L115">
        <f>P24</f>
        <v>0</v>
      </c>
      <c r="M115">
        <f>O25</f>
        <v>1</v>
      </c>
      <c r="N115">
        <f>P25</f>
        <v>-1</v>
      </c>
      <c r="O115">
        <f>O26</f>
        <v>0</v>
      </c>
      <c r="P115">
        <f>P26</f>
        <v>1</v>
      </c>
    </row>
    <row r="116" spans="11:21" x14ac:dyDescent="0.3">
      <c r="K116" t="s">
        <v>46</v>
      </c>
    </row>
    <row r="117" spans="11:21" x14ac:dyDescent="0.3">
      <c r="K117" s="21">
        <f t="array" ref="K117">K115*$P$15</f>
        <v>-0.5</v>
      </c>
      <c r="L117" s="24">
        <f t="shared" ref="L117:P117" si="50">L115*$P$15</f>
        <v>0</v>
      </c>
      <c r="M117" s="24">
        <f t="shared" si="50"/>
        <v>0.5</v>
      </c>
      <c r="N117" s="24">
        <f t="shared" si="50"/>
        <v>-0.5</v>
      </c>
      <c r="O117" s="24">
        <f t="shared" si="50"/>
        <v>0</v>
      </c>
      <c r="P117" s="25">
        <f t="shared" si="50"/>
        <v>0.5</v>
      </c>
    </row>
    <row r="119" spans="11:21" x14ac:dyDescent="0.3">
      <c r="K119" s="26">
        <v>1</v>
      </c>
      <c r="L119" s="26"/>
      <c r="M119" s="26">
        <v>3</v>
      </c>
      <c r="N119" s="26"/>
      <c r="O119" s="26">
        <v>4</v>
      </c>
    </row>
    <row r="120" spans="11:21" x14ac:dyDescent="0.3">
      <c r="K120">
        <f>O50</f>
        <v>0</v>
      </c>
      <c r="L120">
        <f>P50</f>
        <v>-1</v>
      </c>
      <c r="M120">
        <f>O51</f>
        <v>1</v>
      </c>
      <c r="N120">
        <f>P51</f>
        <v>0</v>
      </c>
      <c r="O120">
        <f>O52</f>
        <v>-1</v>
      </c>
      <c r="P120">
        <f>P52</f>
        <v>1</v>
      </c>
    </row>
    <row r="121" spans="11:21" x14ac:dyDescent="0.3">
      <c r="K121" t="s">
        <v>47</v>
      </c>
    </row>
    <row r="122" spans="11:21" x14ac:dyDescent="0.3">
      <c r="K122" s="21">
        <f>K120*$P$41</f>
        <v>0</v>
      </c>
      <c r="L122" s="24">
        <f t="shared" ref="L122:P122" si="51">L120*$P$41</f>
        <v>-0.5</v>
      </c>
      <c r="M122" s="24">
        <f t="shared" si="51"/>
        <v>0.5</v>
      </c>
      <c r="N122" s="24">
        <f t="shared" si="51"/>
        <v>0</v>
      </c>
      <c r="O122" s="24">
        <f t="shared" si="51"/>
        <v>-0.5</v>
      </c>
      <c r="P122" s="25">
        <f t="shared" si="51"/>
        <v>0.5</v>
      </c>
    </row>
    <row r="124" spans="11:21" x14ac:dyDescent="0.3">
      <c r="K124" t="s">
        <v>48</v>
      </c>
      <c r="L124" t="s">
        <v>49</v>
      </c>
      <c r="T124" t="s">
        <v>23</v>
      </c>
    </row>
    <row r="125" spans="11:21" x14ac:dyDescent="0.3">
      <c r="K125" s="12">
        <f>K117</f>
        <v>-0.5</v>
      </c>
      <c r="L125" s="12">
        <f t="shared" ref="L125:P125" si="52">L117</f>
        <v>0</v>
      </c>
      <c r="M125" s="12">
        <f t="shared" si="52"/>
        <v>0.5</v>
      </c>
      <c r="N125" s="12">
        <f t="shared" si="52"/>
        <v>-0.5</v>
      </c>
      <c r="O125" s="12">
        <f t="shared" si="52"/>
        <v>0</v>
      </c>
      <c r="P125" s="12">
        <f t="shared" si="52"/>
        <v>0.5</v>
      </c>
      <c r="Q125" s="27">
        <v>0</v>
      </c>
      <c r="R125" s="28">
        <v>0</v>
      </c>
      <c r="T125" s="12">
        <f t="array" ref="T125:U132">TRANSPOSE(K125:R126)</f>
        <v>-0.5</v>
      </c>
      <c r="U125" s="14">
        <v>0</v>
      </c>
    </row>
    <row r="126" spans="11:21" x14ac:dyDescent="0.3">
      <c r="K126" s="17">
        <f>K122</f>
        <v>0</v>
      </c>
      <c r="L126" s="17">
        <f>L122</f>
        <v>-0.5</v>
      </c>
      <c r="M126" s="29">
        <v>0</v>
      </c>
      <c r="N126" s="29">
        <v>0</v>
      </c>
      <c r="O126" s="18">
        <f>M122</f>
        <v>0.5</v>
      </c>
      <c r="P126" s="18">
        <f t="shared" ref="P126:R126" si="53">N122</f>
        <v>0</v>
      </c>
      <c r="Q126" s="18">
        <f t="shared" si="53"/>
        <v>-0.5</v>
      </c>
      <c r="R126" s="18">
        <f t="shared" si="53"/>
        <v>0.5</v>
      </c>
      <c r="T126" s="15">
        <v>0</v>
      </c>
      <c r="U126" s="16">
        <v>-0.5</v>
      </c>
    </row>
    <row r="127" spans="11:21" x14ac:dyDescent="0.3">
      <c r="T127" s="15">
        <v>0.5</v>
      </c>
      <c r="U127" s="16">
        <v>0</v>
      </c>
    </row>
    <row r="128" spans="11:21" x14ac:dyDescent="0.3">
      <c r="T128" s="15">
        <v>-0.5</v>
      </c>
      <c r="U128" s="16">
        <v>0</v>
      </c>
    </row>
    <row r="129" spans="20:21" x14ac:dyDescent="0.3">
      <c r="T129" s="15">
        <v>0</v>
      </c>
      <c r="U129" s="16">
        <v>0.5</v>
      </c>
    </row>
    <row r="130" spans="20:21" x14ac:dyDescent="0.3">
      <c r="T130" s="15">
        <v>0.5</v>
      </c>
      <c r="U130" s="16">
        <v>0</v>
      </c>
    </row>
    <row r="131" spans="20:21" x14ac:dyDescent="0.3">
      <c r="T131" s="15">
        <v>0</v>
      </c>
      <c r="U131" s="16">
        <v>-0.5</v>
      </c>
    </row>
    <row r="132" spans="20:21" x14ac:dyDescent="0.3">
      <c r="T132" s="17">
        <v>0</v>
      </c>
      <c r="U132" s="19">
        <v>0.5</v>
      </c>
    </row>
    <row r="167" spans="11:18" x14ac:dyDescent="0.3">
      <c r="K167" t="s">
        <v>58</v>
      </c>
      <c r="L167" t="s">
        <v>59</v>
      </c>
    </row>
    <row r="168" spans="11:18" x14ac:dyDescent="0.3">
      <c r="K168" t="s">
        <v>61</v>
      </c>
      <c r="N168" t="s">
        <v>58</v>
      </c>
      <c r="Q168" t="s">
        <v>28</v>
      </c>
    </row>
    <row r="169" spans="11:18" x14ac:dyDescent="0.3">
      <c r="K169" s="12">
        <f t="array" ref="K169:L176">MMULT(AL73:AS80,T125:U132)</f>
        <v>-1.4999999999999993</v>
      </c>
      <c r="L169" s="14">
        <v>0</v>
      </c>
      <c r="N169" s="30">
        <f t="array" ref="N169:O170">MMULT(K125:R126,K169:L176)</f>
        <v>4.4999999999999991</v>
      </c>
      <c r="O169" s="31">
        <v>0</v>
      </c>
      <c r="Q169">
        <f t="array" ref="Q169:R170">MINVERSE(N169:O170)</f>
        <v>0.22222222222222227</v>
      </c>
      <c r="R169">
        <v>0</v>
      </c>
    </row>
    <row r="170" spans="11:18" x14ac:dyDescent="0.3">
      <c r="K170" s="15">
        <v>0</v>
      </c>
      <c r="L170" s="16">
        <v>-2.9999999999999996</v>
      </c>
      <c r="N170" s="32">
        <v>0</v>
      </c>
      <c r="O170" s="33">
        <v>4.4999999999999991</v>
      </c>
      <c r="Q170">
        <v>0</v>
      </c>
      <c r="R170">
        <v>0.22222222222222227</v>
      </c>
    </row>
    <row r="171" spans="11:18" x14ac:dyDescent="0.3">
      <c r="K171" s="15">
        <v>1.4999999999999998</v>
      </c>
      <c r="L171" s="16">
        <v>0</v>
      </c>
    </row>
    <row r="172" spans="11:18" x14ac:dyDescent="0.3">
      <c r="K172" s="15">
        <v>-2.9999999999999996</v>
      </c>
      <c r="L172" s="16">
        <v>0</v>
      </c>
    </row>
    <row r="173" spans="11:18" x14ac:dyDescent="0.3">
      <c r="K173" s="15">
        <v>0</v>
      </c>
      <c r="L173" s="16">
        <v>1.4999999999999993</v>
      </c>
    </row>
    <row r="174" spans="11:18" x14ac:dyDescent="0.3">
      <c r="K174" s="15">
        <v>2.9999999999999996</v>
      </c>
      <c r="L174" s="16">
        <v>0</v>
      </c>
    </row>
    <row r="175" spans="11:18" x14ac:dyDescent="0.3">
      <c r="K175" s="15">
        <v>0</v>
      </c>
      <c r="L175" s="16">
        <v>-1.4999999999999998</v>
      </c>
    </row>
    <row r="176" spans="11:18" x14ac:dyDescent="0.3">
      <c r="K176" s="17">
        <v>0</v>
      </c>
      <c r="L176" s="19">
        <v>2.9999999999999996</v>
      </c>
    </row>
    <row r="187" spans="1:7" x14ac:dyDescent="0.3">
      <c r="A187" t="s">
        <v>62</v>
      </c>
      <c r="B187" t="s">
        <v>77</v>
      </c>
      <c r="C187" s="20">
        <f>'3 шаг '!N238</f>
        <v>0.84658562393093806</v>
      </c>
      <c r="D187" t="s">
        <v>1</v>
      </c>
      <c r="E187" s="11">
        <f>S3</f>
        <v>0.03</v>
      </c>
      <c r="F187" t="s">
        <v>63</v>
      </c>
      <c r="G187" s="20">
        <f>'для 2 треугольников'!G187</f>
        <v>0</v>
      </c>
    </row>
    <row r="188" spans="1:7" x14ac:dyDescent="0.3">
      <c r="B188" t="s">
        <v>78</v>
      </c>
      <c r="C188" s="20">
        <f>'3 шаг '!N239</f>
        <v>-0.31492599756903439</v>
      </c>
      <c r="G188" s="20">
        <f>'для 2 треугольников'!G188</f>
        <v>0</v>
      </c>
    </row>
    <row r="189" spans="1:7" x14ac:dyDescent="0.3">
      <c r="B189" t="s">
        <v>79</v>
      </c>
      <c r="C189" s="20">
        <f>'3 шаг '!N240</f>
        <v>0.17913153378664287</v>
      </c>
      <c r="G189" s="20">
        <f>'для 2 треугольников'!G189</f>
        <v>0</v>
      </c>
    </row>
    <row r="190" spans="1:7" x14ac:dyDescent="0.3">
      <c r="B190" t="s">
        <v>80</v>
      </c>
      <c r="C190" s="20">
        <f>'3 шаг '!N241</f>
        <v>-0.33652131794712098</v>
      </c>
      <c r="G190" s="20">
        <f>'для 2 треугольников'!G190</f>
        <v>0</v>
      </c>
    </row>
    <row r="191" spans="1:7" x14ac:dyDescent="0.3">
      <c r="B191" t="s">
        <v>81</v>
      </c>
      <c r="C191" s="20">
        <f>'3 шаг '!N242</f>
        <v>0.16046234388735009</v>
      </c>
      <c r="G191" s="20">
        <f>'для 2 треугольников'!G191</f>
        <v>0</v>
      </c>
    </row>
    <row r="192" spans="1:7" x14ac:dyDescent="0.3">
      <c r="B192" t="s">
        <v>82</v>
      </c>
      <c r="C192" s="20">
        <f>'3 шаг '!N243</f>
        <v>0.33093277219717421</v>
      </c>
      <c r="G192" s="20">
        <f>'для 2 треугольников'!G192</f>
        <v>0</v>
      </c>
    </row>
    <row r="193" spans="2:15" x14ac:dyDescent="0.3">
      <c r="B193" t="s">
        <v>83</v>
      </c>
      <c r="C193" s="20">
        <f>'3 шаг '!N244</f>
        <v>0.79819828096209611</v>
      </c>
      <c r="G193" s="20">
        <f>'для 2 треугольников'!G193</f>
        <v>0</v>
      </c>
    </row>
    <row r="194" spans="2:15" x14ac:dyDescent="0.3">
      <c r="B194" t="s">
        <v>84</v>
      </c>
      <c r="C194" s="20">
        <f>'3 шаг '!N245</f>
        <v>0.32280993950571163</v>
      </c>
      <c r="G194" s="20">
        <f>'для 2 треугольников'!G194</f>
        <v>0</v>
      </c>
    </row>
    <row r="195" spans="2:15" x14ac:dyDescent="0.3">
      <c r="C195" t="s">
        <v>64</v>
      </c>
    </row>
    <row r="196" spans="2:15" x14ac:dyDescent="0.3">
      <c r="I196" t="s">
        <v>65</v>
      </c>
      <c r="K196" t="s">
        <v>66</v>
      </c>
      <c r="M196" t="s">
        <v>67</v>
      </c>
      <c r="O196" t="s">
        <v>68</v>
      </c>
    </row>
    <row r="197" spans="2:15" x14ac:dyDescent="0.3">
      <c r="I197" s="20">
        <f t="array" ref="I197:I204">MMULT(Q102:X109,C187:C194)</f>
        <v>-5.5893885032540537E-2</v>
      </c>
      <c r="K197" s="20">
        <f>I197*(-1)</f>
        <v>5.5893885032540537E-2</v>
      </c>
      <c r="M197" s="20">
        <f t="array" ref="M197:M204">(-1)*$S$4*MMULT(W77:AD84,C187:C194)</f>
        <v>-1.2962792908650007E-2</v>
      </c>
      <c r="O197" s="20">
        <f>K197+M197+G187</f>
        <v>4.2931092123890527E-2</v>
      </c>
    </row>
    <row r="198" spans="2:15" x14ac:dyDescent="0.3">
      <c r="I198" s="34">
        <v>-8.5339661129718927E-2</v>
      </c>
      <c r="K198" s="34">
        <f t="shared" ref="K198:K204" si="54">I198*(-1)</f>
        <v>8.5339661129718927E-2</v>
      </c>
      <c r="M198" s="34">
        <v>9.1733161184630024E-3</v>
      </c>
      <c r="O198" s="34">
        <f t="shared" ref="O198:O204" si="55">K198+M198+G188</f>
        <v>9.4512977248181931E-2</v>
      </c>
    </row>
    <row r="199" spans="2:15" x14ac:dyDescent="0.3">
      <c r="I199" s="34">
        <v>-5.5893885032540502E-2</v>
      </c>
      <c r="K199" s="34">
        <f t="shared" si="54"/>
        <v>5.5893885032540502E-2</v>
      </c>
      <c r="M199" s="34">
        <v>-5.5822810569002776E-3</v>
      </c>
      <c r="O199" s="34">
        <f t="shared" si="55"/>
        <v>5.0311603975640225E-2</v>
      </c>
    </row>
    <row r="200" spans="2:15" x14ac:dyDescent="0.3">
      <c r="I200" s="34">
        <v>2.9445776097178404E-2</v>
      </c>
      <c r="K200" s="34">
        <f t="shared" si="54"/>
        <v>-2.9445776097178404E-2</v>
      </c>
      <c r="M200" s="34">
        <v>9.3717578470872837E-3</v>
      </c>
      <c r="O200" s="34">
        <f t="shared" si="55"/>
        <v>-2.007401825009112E-2</v>
      </c>
    </row>
    <row r="201" spans="2:15" x14ac:dyDescent="0.3">
      <c r="I201" s="34">
        <v>5.3646790864635405E-2</v>
      </c>
      <c r="K201" s="34">
        <f t="shared" si="54"/>
        <v>-5.3646790864635405E-2</v>
      </c>
      <c r="M201" s="34">
        <v>1.8401998368446936E-3</v>
      </c>
      <c r="O201" s="34">
        <f t="shared" si="55"/>
        <v>-5.1806591027790713E-2</v>
      </c>
    </row>
    <row r="202" spans="2:15" x14ac:dyDescent="0.3">
      <c r="I202" s="34">
        <v>2.9135075855792197E-3</v>
      </c>
      <c r="K202" s="34">
        <f t="shared" si="54"/>
        <v>-2.9135075855792197E-3</v>
      </c>
      <c r="M202" s="34">
        <v>1.6445070208774644E-3</v>
      </c>
      <c r="O202" s="34">
        <f t="shared" si="55"/>
        <v>-1.2690005647017554E-3</v>
      </c>
    </row>
    <row r="203" spans="2:15" x14ac:dyDescent="0.3">
      <c r="I203" s="34">
        <v>5.3646790864635391E-2</v>
      </c>
      <c r="K203" s="34">
        <f t="shared" si="54"/>
        <v>-5.3646790864635391E-2</v>
      </c>
      <c r="M203" s="34">
        <v>-5.2116973818079467E-3</v>
      </c>
      <c r="O203" s="34">
        <f t="shared" si="55"/>
        <v>-5.8858488246443338E-2</v>
      </c>
    </row>
    <row r="204" spans="2:15" x14ac:dyDescent="0.3">
      <c r="I204" s="35">
        <v>5.0733283279056157E-2</v>
      </c>
      <c r="K204" s="35">
        <f t="shared" si="54"/>
        <v>-5.0733283279056157E-2</v>
      </c>
      <c r="M204" s="35">
        <v>1.7269905240857879E-3</v>
      </c>
      <c r="O204" s="35">
        <f t="shared" si="55"/>
        <v>-4.9006292754970371E-2</v>
      </c>
    </row>
    <row r="207" spans="2:15" x14ac:dyDescent="0.3">
      <c r="I207" t="s">
        <v>69</v>
      </c>
      <c r="K207" t="s">
        <v>70</v>
      </c>
      <c r="M207" t="s">
        <v>71</v>
      </c>
    </row>
    <row r="208" spans="2:15" x14ac:dyDescent="0.3">
      <c r="I208">
        <f t="array" ref="I208:I215">MMULT(AL73:AS80,O197:O204)</f>
        <v>0.12879327637167151</v>
      </c>
      <c r="K208">
        <f t="array" ref="K208">$E$187*I208</f>
        <v>3.8637982911501451E-3</v>
      </c>
      <c r="M208" s="20">
        <f>C187+K208</f>
        <v>0.85044942222208819</v>
      </c>
    </row>
    <row r="209" spans="8:13" x14ac:dyDescent="0.3">
      <c r="I209">
        <v>0.5670778634890915</v>
      </c>
      <c r="K209">
        <f t="shared" ref="K209:K215" si="56">$E$187*I209</f>
        <v>1.7012335904672743E-2</v>
      </c>
      <c r="M209" s="34">
        <f t="shared" ref="M209:M215" si="57">C188+K209</f>
        <v>-0.29791366166436162</v>
      </c>
    </row>
    <row r="210" spans="8:13" x14ac:dyDescent="0.3">
      <c r="I210">
        <v>0.15093481192692065</v>
      </c>
      <c r="K210">
        <f t="shared" si="56"/>
        <v>4.5280443578076196E-3</v>
      </c>
      <c r="M210" s="34">
        <f t="shared" si="57"/>
        <v>0.1836595781444505</v>
      </c>
    </row>
    <row r="211" spans="8:13" x14ac:dyDescent="0.3">
      <c r="I211">
        <v>-0.12044410950054671</v>
      </c>
      <c r="K211">
        <f t="shared" si="56"/>
        <v>-3.613323285016401E-3</v>
      </c>
      <c r="M211" s="34">
        <f t="shared" si="57"/>
        <v>-0.34013464123213738</v>
      </c>
    </row>
    <row r="212" spans="8:13" x14ac:dyDescent="0.3">
      <c r="I212">
        <v>-0.15541977308337207</v>
      </c>
      <c r="K212">
        <f t="shared" si="56"/>
        <v>-4.6625931925011622E-3</v>
      </c>
      <c r="M212" s="34">
        <f t="shared" si="57"/>
        <v>0.15579975069484892</v>
      </c>
    </row>
    <row r="213" spans="8:13" x14ac:dyDescent="0.3">
      <c r="I213">
        <v>-7.6140033882105308E-3</v>
      </c>
      <c r="K213">
        <f t="shared" si="56"/>
        <v>-2.2842010164631592E-4</v>
      </c>
      <c r="M213" s="34">
        <f t="shared" si="57"/>
        <v>0.3307043520955279</v>
      </c>
    </row>
    <row r="214" spans="8:13" x14ac:dyDescent="0.3">
      <c r="I214">
        <v>-0.17657546473933</v>
      </c>
      <c r="K214">
        <f t="shared" si="56"/>
        <v>-5.2972639421799E-3</v>
      </c>
      <c r="M214" s="34">
        <f t="shared" si="57"/>
        <v>0.79290101701991622</v>
      </c>
    </row>
    <row r="215" spans="8:13" x14ac:dyDescent="0.3">
      <c r="I215">
        <v>-0.29403775652982217</v>
      </c>
      <c r="K215">
        <f t="shared" si="56"/>
        <v>-8.8211326958946654E-3</v>
      </c>
      <c r="M215" s="35">
        <f t="shared" si="57"/>
        <v>0.31398880680981694</v>
      </c>
    </row>
    <row r="218" spans="8:13" x14ac:dyDescent="0.3">
      <c r="I218" t="s">
        <v>72</v>
      </c>
    </row>
    <row r="219" spans="8:13" x14ac:dyDescent="0.3">
      <c r="I219">
        <f t="array" ref="I219:I220">MMULT(K125:R126,M208:M215)</f>
        <v>2.0245746250138197E-3</v>
      </c>
    </row>
    <row r="220" spans="8:13" x14ac:dyDescent="0.3">
      <c r="I220">
        <v>-1.2599398925444372E-2</v>
      </c>
    </row>
    <row r="224" spans="8:13" x14ac:dyDescent="0.3">
      <c r="H224" t="s">
        <v>73</v>
      </c>
    </row>
    <row r="225" spans="8:18" x14ac:dyDescent="0.3">
      <c r="H225">
        <f t="array" ref="H225:H226">MMULT(Q169:R170,I219:I220)/$E$187</f>
        <v>1.4996849074176444E-2</v>
      </c>
      <c r="J225" s="40" t="s">
        <v>111</v>
      </c>
      <c r="M225">
        <f>H225+(7.5-($H$225+$H$226)/2)</f>
        <v>7.5541628650016968</v>
      </c>
    </row>
    <row r="226" spans="8:18" x14ac:dyDescent="0.3">
      <c r="H226">
        <v>-9.3328880929217581E-2</v>
      </c>
      <c r="J226" s="40" t="s">
        <v>112</v>
      </c>
      <c r="M226">
        <f>H226+(7.5-($H$225+$H$226)/2)</f>
        <v>7.4458371349983032</v>
      </c>
    </row>
    <row r="237" spans="8:18" x14ac:dyDescent="0.3">
      <c r="J237" t="s">
        <v>74</v>
      </c>
      <c r="L237" t="s">
        <v>75</v>
      </c>
      <c r="N237" t="s">
        <v>76</v>
      </c>
      <c r="P237" s="38" t="s">
        <v>113</v>
      </c>
    </row>
    <row r="238" spans="8:18" x14ac:dyDescent="0.3">
      <c r="J238" s="20">
        <f t="array" ref="J238:J245">MMULT(T125:U132,H225:H226)</f>
        <v>-7.498424537088222E-3</v>
      </c>
      <c r="L238" s="20">
        <f t="array" ref="L238:L245">MMULT(AL73:AS80,J238:J245)</f>
        <v>-2.2495273611264657E-2</v>
      </c>
      <c r="N238">
        <f t="array" ref="N238">M208-$E$187*L238</f>
        <v>0.85112428043042609</v>
      </c>
      <c r="P238">
        <f>N238-'3 шаг '!N238</f>
        <v>4.5386564994880363E-3</v>
      </c>
      <c r="Q238">
        <f>ABS(P238)</f>
        <v>4.5386564994880363E-3</v>
      </c>
      <c r="R238">
        <f>MAX(Q238:Q245)</f>
        <v>9.4970635839947137E-3</v>
      </c>
    </row>
    <row r="239" spans="8:18" x14ac:dyDescent="0.3">
      <c r="J239" s="34">
        <v>4.666444046460879E-2</v>
      </c>
      <c r="L239" s="34">
        <v>0.27998664278765273</v>
      </c>
      <c r="N239">
        <f t="shared" ref="N239:N245" si="58">M209-$E$187*L239</f>
        <v>-0.30631326094799122</v>
      </c>
      <c r="P239">
        <f>N239-'3 шаг '!N239</f>
        <v>8.6127366210431711E-3</v>
      </c>
      <c r="Q239">
        <f t="shared" ref="Q239:Q245" si="59">ABS(P239)</f>
        <v>8.6127366210431711E-3</v>
      </c>
    </row>
    <row r="240" spans="8:18" x14ac:dyDescent="0.3">
      <c r="J240" s="34">
        <v>7.498424537088222E-3</v>
      </c>
      <c r="L240" s="34">
        <v>2.2495273611264664E-2</v>
      </c>
      <c r="N240">
        <f t="shared" si="58"/>
        <v>0.18298471993611257</v>
      </c>
      <c r="P240">
        <f>N240-'3 шаг '!N240</f>
        <v>3.8531861494696951E-3</v>
      </c>
      <c r="Q240">
        <f t="shared" si="59"/>
        <v>3.8531861494696951E-3</v>
      </c>
    </row>
    <row r="241" spans="2:17" x14ac:dyDescent="0.3">
      <c r="J241" s="34">
        <v>-7.498424537088222E-3</v>
      </c>
      <c r="L241" s="34">
        <v>-4.4990547222529327E-2</v>
      </c>
      <c r="N241">
        <f t="shared" si="58"/>
        <v>-0.33878492481546152</v>
      </c>
      <c r="P241">
        <f>N241-'3 шаг '!N241</f>
        <v>-2.2636068683405397E-3</v>
      </c>
      <c r="Q241">
        <f t="shared" si="59"/>
        <v>2.2636068683405397E-3</v>
      </c>
    </row>
    <row r="242" spans="2:17" x14ac:dyDescent="0.3">
      <c r="J242" s="34">
        <v>-4.666444046460879E-2</v>
      </c>
      <c r="L242" s="34">
        <v>-0.13999332139382631</v>
      </c>
      <c r="N242">
        <f t="shared" si="58"/>
        <v>0.15999955033666372</v>
      </c>
      <c r="P242">
        <f>N242-'3 шаг '!N242</f>
        <v>-4.6279355068637451E-4</v>
      </c>
      <c r="Q242">
        <f t="shared" si="59"/>
        <v>4.6279355068637451E-4</v>
      </c>
    </row>
    <row r="243" spans="2:17" x14ac:dyDescent="0.3">
      <c r="J243" s="34">
        <v>7.498424537088222E-3</v>
      </c>
      <c r="L243" s="34">
        <v>4.4990547222529327E-2</v>
      </c>
      <c r="N243">
        <f t="shared" si="58"/>
        <v>0.32935463567885204</v>
      </c>
      <c r="P243">
        <f>N243-'3 шаг '!N243</f>
        <v>-1.5781365183221707E-3</v>
      </c>
      <c r="Q243">
        <f t="shared" si="59"/>
        <v>1.5781365183221707E-3</v>
      </c>
    </row>
    <row r="244" spans="2:17" x14ac:dyDescent="0.3">
      <c r="J244" s="34">
        <v>4.666444046460879E-2</v>
      </c>
      <c r="L244" s="34">
        <v>0.13999332139382636</v>
      </c>
      <c r="N244">
        <f t="shared" si="58"/>
        <v>0.78870121737810139</v>
      </c>
      <c r="P244">
        <f>N244-'3 шаг '!N244</f>
        <v>-9.4970635839947137E-3</v>
      </c>
      <c r="Q244">
        <f t="shared" si="59"/>
        <v>9.4970635839947137E-3</v>
      </c>
    </row>
    <row r="245" spans="2:17" x14ac:dyDescent="0.3">
      <c r="J245" s="35">
        <v>-4.666444046460879E-2</v>
      </c>
      <c r="L245" s="35">
        <v>-0.27998664278765273</v>
      </c>
      <c r="N245">
        <f t="shared" si="58"/>
        <v>0.32238840609344654</v>
      </c>
      <c r="P245">
        <f>N245-'3 шаг '!N245</f>
        <v>-4.2153341226508489E-4</v>
      </c>
      <c r="Q245">
        <f t="shared" si="59"/>
        <v>4.2153341226508489E-4</v>
      </c>
    </row>
    <row r="248" spans="2:17" x14ac:dyDescent="0.3">
      <c r="B248" t="s">
        <v>94</v>
      </c>
    </row>
    <row r="272" spans="8:10" x14ac:dyDescent="0.3">
      <c r="H272" t="s">
        <v>95</v>
      </c>
      <c r="J272" t="s">
        <v>96</v>
      </c>
    </row>
    <row r="273" spans="7:10" x14ac:dyDescent="0.3">
      <c r="G273" t="s">
        <v>97</v>
      </c>
      <c r="H273" s="20">
        <f>E24*C187+F24*C189+G24*C191</f>
        <v>-0.66745409014429513</v>
      </c>
      <c r="J273" s="20">
        <f>E50*C187+F50*C191+G50*C193</f>
        <v>-0.63773593707474596</v>
      </c>
    </row>
    <row r="274" spans="7:10" x14ac:dyDescent="0.3">
      <c r="G274" t="s">
        <v>98</v>
      </c>
      <c r="H274" s="34">
        <f>E25*C187+F25*C189+G25*C191</f>
        <v>-1.8669189899292782E-2</v>
      </c>
      <c r="J274" s="34">
        <f>E51*C187+F51*C191+G51*C193</f>
        <v>-4.8387342968841951E-2</v>
      </c>
    </row>
    <row r="275" spans="7:10" x14ac:dyDescent="0.3">
      <c r="G275" t="s">
        <v>99</v>
      </c>
      <c r="H275" s="34">
        <f>E24*C188+F24*C190+G24*C192</f>
        <v>-2.1595320378086591E-2</v>
      </c>
      <c r="J275" s="34">
        <f>E50*C188+F50*C192+G50*C194</f>
        <v>8.1228326914625781E-3</v>
      </c>
    </row>
    <row r="276" spans="7:10" x14ac:dyDescent="0.3">
      <c r="G276" t="s">
        <v>100</v>
      </c>
      <c r="H276" s="34">
        <f>E25*C188+F25*C190+G25*C192</f>
        <v>0.66745409014429513</v>
      </c>
      <c r="J276" s="34">
        <f>E51*C188+F51*C192+G51*C194</f>
        <v>0.63773593707474596</v>
      </c>
    </row>
    <row r="284" spans="7:10" x14ac:dyDescent="0.3">
      <c r="H284" t="s">
        <v>101</v>
      </c>
    </row>
    <row r="285" spans="7:10" x14ac:dyDescent="0.3">
      <c r="H285">
        <f>(2*H273^2+2*H276^2+(H274+H275)^2)^0.5</f>
        <v>1.335515286542716</v>
      </c>
      <c r="J285">
        <f>(2*J273^2+2*J276^2+(J274+J275)^2)^0.5</f>
        <v>1.2761072574569485</v>
      </c>
    </row>
    <row r="287" spans="7:10" ht="20.399999999999999" x14ac:dyDescent="0.3">
      <c r="G287" s="37" t="s">
        <v>102</v>
      </c>
      <c r="H287">
        <f>(G11+G12+G13)/3</f>
        <v>0.33333333333333331</v>
      </c>
      <c r="J287">
        <f>(G37+G38+G39)/3</f>
        <v>0.66666666666666663</v>
      </c>
    </row>
    <row r="288" spans="7:10" ht="20.399999999999999" x14ac:dyDescent="0.3">
      <c r="G288" s="39" t="s">
        <v>103</v>
      </c>
      <c r="H288">
        <f>1</f>
        <v>1</v>
      </c>
      <c r="J288">
        <f>1</f>
        <v>1</v>
      </c>
    </row>
    <row r="289" spans="7:10" x14ac:dyDescent="0.3">
      <c r="G289" t="s">
        <v>104</v>
      </c>
      <c r="H289">
        <f>MIN(0.4*H287,0.09*H288)</f>
        <v>0.09</v>
      </c>
      <c r="J289">
        <f>MIN(0.4*J287,0.09*J288)</f>
        <v>0.09</v>
      </c>
    </row>
    <row r="290" spans="7:10" x14ac:dyDescent="0.3">
      <c r="G290" t="s">
        <v>105</v>
      </c>
      <c r="H290">
        <f>H289^2</f>
        <v>8.0999999999999996E-3</v>
      </c>
      <c r="J290">
        <f>J289^2</f>
        <v>8.0999999999999996E-3</v>
      </c>
    </row>
    <row r="291" spans="7:10" x14ac:dyDescent="0.3">
      <c r="G291" s="38" t="s">
        <v>106</v>
      </c>
      <c r="H291">
        <f>$S$2*H290*H285</f>
        <v>1.0817673820995998E-2</v>
      </c>
      <c r="J291">
        <f>$S$2*J290*J285</f>
        <v>1.0336468785401282E-2</v>
      </c>
    </row>
    <row r="294" spans="7:10" x14ac:dyDescent="0.3">
      <c r="G294" t="s">
        <v>107</v>
      </c>
      <c r="H294">
        <f>$S$4+H291</f>
        <v>0.110817673820996</v>
      </c>
      <c r="J294">
        <f>$S$4+J291</f>
        <v>0.11033646878540129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2:AS294"/>
  <sheetViews>
    <sheetView tabSelected="1" topLeftCell="B1" workbookViewId="0">
      <selection activeCell="J291" sqref="J291"/>
    </sheetView>
  </sheetViews>
  <sheetFormatPr defaultRowHeight="14.4" x14ac:dyDescent="0.3"/>
  <cols>
    <col min="8" max="8" width="12.6640625" bestFit="1" customWidth="1"/>
    <col min="9" max="9" width="11.109375" customWidth="1"/>
    <col min="10" max="10" width="12.6640625" bestFit="1" customWidth="1"/>
    <col min="12" max="12" width="12.6640625" bestFit="1" customWidth="1"/>
  </cols>
  <sheetData>
    <row r="2" spans="2:22" x14ac:dyDescent="0.3">
      <c r="R2" t="s">
        <v>0</v>
      </c>
      <c r="S2">
        <v>1</v>
      </c>
    </row>
    <row r="3" spans="2:22" x14ac:dyDescent="0.3">
      <c r="R3" t="s">
        <v>1</v>
      </c>
      <c r="S3">
        <v>0.03</v>
      </c>
    </row>
    <row r="4" spans="2:22" x14ac:dyDescent="0.3">
      <c r="D4" t="s">
        <v>4</v>
      </c>
      <c r="E4" t="s">
        <v>5</v>
      </c>
      <c r="R4" t="s">
        <v>2</v>
      </c>
      <c r="S4">
        <v>0.1</v>
      </c>
      <c r="U4" t="s">
        <v>3</v>
      </c>
    </row>
    <row r="5" spans="2:22" x14ac:dyDescent="0.3">
      <c r="C5">
        <v>1</v>
      </c>
      <c r="D5" s="12">
        <v>0</v>
      </c>
      <c r="E5" s="14">
        <v>0</v>
      </c>
    </row>
    <row r="6" spans="2:22" x14ac:dyDescent="0.3">
      <c r="C6">
        <v>2</v>
      </c>
      <c r="D6" s="15">
        <v>1</v>
      </c>
      <c r="E6" s="16">
        <v>0</v>
      </c>
    </row>
    <row r="7" spans="2:22" x14ac:dyDescent="0.3">
      <c r="C7">
        <v>3</v>
      </c>
      <c r="D7" s="15">
        <v>1</v>
      </c>
      <c r="E7" s="16">
        <v>1</v>
      </c>
    </row>
    <row r="8" spans="2:22" x14ac:dyDescent="0.3">
      <c r="C8">
        <v>4</v>
      </c>
      <c r="D8" s="17">
        <v>0</v>
      </c>
      <c r="E8" s="19">
        <v>1</v>
      </c>
    </row>
    <row r="10" spans="2:22" x14ac:dyDescent="0.3">
      <c r="B10" t="s">
        <v>32</v>
      </c>
      <c r="F10" t="s">
        <v>4</v>
      </c>
      <c r="G10" t="s">
        <v>5</v>
      </c>
    </row>
    <row r="11" spans="2:22" x14ac:dyDescent="0.3">
      <c r="E11">
        <v>1</v>
      </c>
      <c r="F11" s="12">
        <f t="shared" ref="F11:G13" si="0">D5</f>
        <v>0</v>
      </c>
      <c r="G11" s="14">
        <f t="shared" si="0"/>
        <v>0</v>
      </c>
    </row>
    <row r="12" spans="2:22" x14ac:dyDescent="0.3">
      <c r="B12" t="s">
        <v>6</v>
      </c>
      <c r="E12">
        <v>2</v>
      </c>
      <c r="F12" s="15">
        <f t="shared" si="0"/>
        <v>1</v>
      </c>
      <c r="G12" s="16">
        <f t="shared" si="0"/>
        <v>0</v>
      </c>
    </row>
    <row r="13" spans="2:22" x14ac:dyDescent="0.3">
      <c r="B13" s="4"/>
      <c r="C13" s="4"/>
      <c r="D13" s="4"/>
      <c r="E13">
        <v>3</v>
      </c>
      <c r="F13" s="17">
        <f t="shared" si="0"/>
        <v>1</v>
      </c>
      <c r="G13" s="19">
        <f t="shared" si="0"/>
        <v>1</v>
      </c>
      <c r="K13" s="4"/>
      <c r="L13" s="4"/>
      <c r="M13" s="4"/>
      <c r="N13" s="4"/>
    </row>
    <row r="14" spans="2:22" ht="15" thickBot="1" x14ac:dyDescent="0.35">
      <c r="B14" t="s">
        <v>7</v>
      </c>
      <c r="C14" t="s">
        <v>8</v>
      </c>
      <c r="E14" t="s">
        <v>9</v>
      </c>
      <c r="J14" t="s">
        <v>10</v>
      </c>
      <c r="K14" s="4"/>
      <c r="N14" t="s">
        <v>11</v>
      </c>
      <c r="P14" t="s">
        <v>12</v>
      </c>
      <c r="R14" s="22" t="s">
        <v>29</v>
      </c>
      <c r="U14" t="s">
        <v>30</v>
      </c>
    </row>
    <row r="15" spans="2:22" x14ac:dyDescent="0.3">
      <c r="B15" s="5" t="s">
        <v>13</v>
      </c>
      <c r="C15" s="4">
        <f>1/3</f>
        <v>0.33333333333333331</v>
      </c>
      <c r="D15" s="4"/>
      <c r="E15" s="6">
        <v>-1</v>
      </c>
      <c r="F15" s="7">
        <v>1</v>
      </c>
      <c r="G15" s="1">
        <v>0</v>
      </c>
      <c r="H15" s="8"/>
      <c r="J15" s="6">
        <f t="array" ref="J15:K16">MMULT(E15:G16,F11:G13)</f>
        <v>1</v>
      </c>
      <c r="K15" s="1">
        <v>0</v>
      </c>
      <c r="L15" s="8"/>
      <c r="N15">
        <f>MDETERM(J15:K16)</f>
        <v>1</v>
      </c>
      <c r="P15">
        <f>N15*0.5</f>
        <v>0.5</v>
      </c>
      <c r="Q15" t="s">
        <v>31</v>
      </c>
      <c r="U15" s="11">
        <f t="array" ref="U15:V16">MINVERSE(J15:K16)</f>
        <v>1</v>
      </c>
      <c r="V15" s="11">
        <v>0</v>
      </c>
    </row>
    <row r="16" spans="2:22" ht="15" thickBot="1" x14ac:dyDescent="0.35">
      <c r="B16" s="5" t="s">
        <v>14</v>
      </c>
      <c r="C16" s="4">
        <f>1/3</f>
        <v>0.33333333333333331</v>
      </c>
      <c r="D16" s="4"/>
      <c r="E16" s="9">
        <v>-1</v>
      </c>
      <c r="F16" s="10">
        <v>0</v>
      </c>
      <c r="G16" s="3">
        <v>1</v>
      </c>
      <c r="H16" s="8"/>
      <c r="J16" s="9">
        <v>1</v>
      </c>
      <c r="K16" s="3">
        <v>1</v>
      </c>
      <c r="L16" s="8"/>
      <c r="U16" s="11">
        <v>-1</v>
      </c>
      <c r="V16" s="11">
        <v>1</v>
      </c>
    </row>
    <row r="17" spans="2:28" x14ac:dyDescent="0.3">
      <c r="B17" s="5"/>
      <c r="C17" s="4"/>
      <c r="D17" s="4"/>
      <c r="E17" s="8"/>
      <c r="F17" s="8"/>
      <c r="G17" s="8"/>
      <c r="H17" s="8"/>
      <c r="J17" s="8"/>
      <c r="K17" s="8"/>
      <c r="L17" s="8"/>
    </row>
    <row r="19" spans="2:28" x14ac:dyDescent="0.3">
      <c r="E19" s="4" t="s">
        <v>15</v>
      </c>
      <c r="F19" s="4" t="s">
        <v>16</v>
      </c>
      <c r="G19" s="4" t="s">
        <v>17</v>
      </c>
      <c r="H19" s="4"/>
      <c r="I19" s="4" t="s">
        <v>18</v>
      </c>
      <c r="J19" s="4"/>
      <c r="K19" s="4" t="s">
        <v>19</v>
      </c>
      <c r="L19" s="4"/>
      <c r="O19" t="s">
        <v>20</v>
      </c>
    </row>
    <row r="20" spans="2:28" x14ac:dyDescent="0.3">
      <c r="E20" s="4">
        <f>1-C15-C16</f>
        <v>0.33333333333333343</v>
      </c>
      <c r="F20" s="4">
        <f>C15</f>
        <v>0.33333333333333331</v>
      </c>
      <c r="G20" s="4">
        <f>C16</f>
        <v>0.33333333333333331</v>
      </c>
      <c r="H20" s="4"/>
      <c r="I20">
        <f t="array" ref="I20:I22">TRANSPOSE(E20:G20)</f>
        <v>0.33333333333333343</v>
      </c>
      <c r="K20">
        <f t="array" ref="K20:M22">MMULT(I20:I22,E20:G20)</f>
        <v>0.11111111111111117</v>
      </c>
      <c r="L20">
        <v>0.11111111111111113</v>
      </c>
      <c r="M20">
        <v>0.11111111111111113</v>
      </c>
      <c r="O20">
        <f>K20*$P$15</f>
        <v>5.5555555555555587E-2</v>
      </c>
      <c r="P20">
        <f t="shared" ref="P20:Q22" si="1">L20*$P$15</f>
        <v>5.5555555555555566E-2</v>
      </c>
      <c r="Q20">
        <f t="shared" si="1"/>
        <v>5.5555555555555566E-2</v>
      </c>
    </row>
    <row r="21" spans="2:28" x14ac:dyDescent="0.3">
      <c r="E21" t="s">
        <v>21</v>
      </c>
      <c r="I21">
        <v>0.33333333333333331</v>
      </c>
      <c r="K21">
        <v>0.11111111111111113</v>
      </c>
      <c r="L21">
        <v>0.1111111111111111</v>
      </c>
      <c r="M21">
        <v>0.1111111111111111</v>
      </c>
      <c r="O21">
        <f t="shared" ref="O21:O22" si="2">K21*$P$15</f>
        <v>5.5555555555555566E-2</v>
      </c>
      <c r="P21">
        <f t="shared" si="1"/>
        <v>5.5555555555555552E-2</v>
      </c>
      <c r="Q21">
        <f t="shared" si="1"/>
        <v>5.5555555555555552E-2</v>
      </c>
    </row>
    <row r="22" spans="2:28" x14ac:dyDescent="0.3">
      <c r="E22" s="4">
        <f>SUM(E20:G20)</f>
        <v>1</v>
      </c>
      <c r="I22">
        <v>0.33333333333333331</v>
      </c>
      <c r="K22">
        <v>0.11111111111111113</v>
      </c>
      <c r="L22">
        <v>0.1111111111111111</v>
      </c>
      <c r="M22">
        <v>0.1111111111111111</v>
      </c>
      <c r="O22">
        <f t="shared" si="2"/>
        <v>5.5555555555555566E-2</v>
      </c>
      <c r="P22">
        <f t="shared" si="1"/>
        <v>5.5555555555555552E-2</v>
      </c>
      <c r="Q22">
        <f t="shared" si="1"/>
        <v>5.5555555555555552E-2</v>
      </c>
    </row>
    <row r="23" spans="2:28" x14ac:dyDescent="0.3">
      <c r="V23" t="s">
        <v>26</v>
      </c>
    </row>
    <row r="24" spans="2:28" x14ac:dyDescent="0.3">
      <c r="E24" s="11">
        <f t="array" ref="E24:E25">MMULT($U$15:$V$16,E15:E16)</f>
        <v>-1</v>
      </c>
      <c r="F24" s="11">
        <f t="array" ref="F24:F25">MMULT($U$15:$V$16,F15:F16)</f>
        <v>1</v>
      </c>
      <c r="G24" s="11">
        <f t="array" ref="G24:G25">MMULT($U$15:$V$16,G15:G16)</f>
        <v>0</v>
      </c>
      <c r="O24" s="12">
        <f t="array" ref="O24:P26">TRANSPOSE(E24:G25)</f>
        <v>-1</v>
      </c>
      <c r="P24" s="14">
        <v>0</v>
      </c>
      <c r="R24" s="12">
        <f t="array" ref="R24:T26">MMULT(O24:P26,E24:G25)</f>
        <v>1</v>
      </c>
      <c r="S24" s="13">
        <v>-1</v>
      </c>
      <c r="T24" s="14">
        <v>0</v>
      </c>
      <c r="V24" s="12">
        <f>R24*$P$15</f>
        <v>0.5</v>
      </c>
      <c r="W24" s="13">
        <f t="shared" ref="W24:X26" si="3">S24*$P$15</f>
        <v>-0.5</v>
      </c>
      <c r="X24" s="14">
        <f t="shared" si="3"/>
        <v>0</v>
      </c>
    </row>
    <row r="25" spans="2:28" x14ac:dyDescent="0.3">
      <c r="D25" s="4"/>
      <c r="E25" s="11">
        <v>0</v>
      </c>
      <c r="F25" s="11">
        <v>-1</v>
      </c>
      <c r="G25" s="11">
        <v>1</v>
      </c>
      <c r="O25" s="15">
        <v>1</v>
      </c>
      <c r="P25" s="16">
        <v>-1</v>
      </c>
      <c r="R25" s="15">
        <v>-1</v>
      </c>
      <c r="S25" s="8">
        <v>2</v>
      </c>
      <c r="T25" s="16">
        <v>-1</v>
      </c>
      <c r="V25" s="15">
        <f t="shared" ref="V25:V26" si="4">R25*$P$15</f>
        <v>-0.5</v>
      </c>
      <c r="W25" s="8">
        <f t="shared" si="3"/>
        <v>1</v>
      </c>
      <c r="X25" s="16">
        <f t="shared" si="3"/>
        <v>-0.5</v>
      </c>
    </row>
    <row r="26" spans="2:28" x14ac:dyDescent="0.3">
      <c r="D26" s="4"/>
      <c r="O26" s="17">
        <v>0</v>
      </c>
      <c r="P26" s="19">
        <v>1</v>
      </c>
      <c r="R26" s="17">
        <v>0</v>
      </c>
      <c r="S26" s="18">
        <v>-1</v>
      </c>
      <c r="T26" s="19">
        <v>1</v>
      </c>
      <c r="V26" s="17">
        <f t="shared" si="4"/>
        <v>0</v>
      </c>
      <c r="W26" s="18">
        <f t="shared" si="3"/>
        <v>-0.5</v>
      </c>
      <c r="X26" s="19">
        <f t="shared" si="3"/>
        <v>0.5</v>
      </c>
    </row>
    <row r="27" spans="2:28" x14ac:dyDescent="0.3">
      <c r="D27" s="4"/>
      <c r="E27" t="s">
        <v>22</v>
      </c>
      <c r="L27" t="s">
        <v>23</v>
      </c>
      <c r="P27" t="s">
        <v>24</v>
      </c>
      <c r="W27" t="s">
        <v>25</v>
      </c>
    </row>
    <row r="28" spans="2:28" x14ac:dyDescent="0.3">
      <c r="E28" s="12">
        <f>E24</f>
        <v>-1</v>
      </c>
      <c r="F28" s="13">
        <v>0</v>
      </c>
      <c r="G28" s="13">
        <f>F24</f>
        <v>1</v>
      </c>
      <c r="H28" s="13">
        <v>0</v>
      </c>
      <c r="I28" s="13">
        <f>G24</f>
        <v>0</v>
      </c>
      <c r="J28" s="14">
        <v>0</v>
      </c>
      <c r="L28" s="12">
        <f t="array" ref="L28:N33">TRANSPOSE(E28:J30)</f>
        <v>-1</v>
      </c>
      <c r="M28" s="13">
        <v>0</v>
      </c>
      <c r="N28" s="14">
        <v>0</v>
      </c>
      <c r="P28" s="12">
        <f t="array" ref="P28:U33">MMULT(L28:N33,E28:J30)</f>
        <v>1</v>
      </c>
      <c r="Q28" s="13">
        <v>0</v>
      </c>
      <c r="R28" s="13">
        <v>-1</v>
      </c>
      <c r="S28" s="13">
        <v>0</v>
      </c>
      <c r="T28" s="13">
        <v>0</v>
      </c>
      <c r="U28" s="14">
        <v>0</v>
      </c>
      <c r="W28" s="12">
        <f>P28*$P$15</f>
        <v>0.5</v>
      </c>
      <c r="X28" s="13">
        <f t="shared" ref="X28:AB33" si="5">Q28*$P$15</f>
        <v>0</v>
      </c>
      <c r="Y28" s="13">
        <f t="shared" si="5"/>
        <v>-0.5</v>
      </c>
      <c r="Z28" s="13">
        <f t="shared" si="5"/>
        <v>0</v>
      </c>
      <c r="AA28" s="13">
        <f t="shared" si="5"/>
        <v>0</v>
      </c>
      <c r="AB28" s="14">
        <f t="shared" si="5"/>
        <v>0</v>
      </c>
    </row>
    <row r="29" spans="2:28" x14ac:dyDescent="0.3">
      <c r="E29" s="15">
        <v>0</v>
      </c>
      <c r="F29" s="8">
        <f>E25</f>
        <v>0</v>
      </c>
      <c r="G29" s="8">
        <v>0</v>
      </c>
      <c r="H29" s="8">
        <f>F25</f>
        <v>-1</v>
      </c>
      <c r="I29" s="8">
        <v>0</v>
      </c>
      <c r="J29" s="16">
        <f>G25</f>
        <v>1</v>
      </c>
      <c r="L29" s="15">
        <v>0</v>
      </c>
      <c r="M29" s="8">
        <v>0</v>
      </c>
      <c r="N29" s="16">
        <v>-1</v>
      </c>
      <c r="P29" s="15">
        <v>0</v>
      </c>
      <c r="Q29" s="8">
        <v>1</v>
      </c>
      <c r="R29" s="8">
        <v>1</v>
      </c>
      <c r="S29" s="8">
        <v>-1</v>
      </c>
      <c r="T29" s="8">
        <v>-1</v>
      </c>
      <c r="U29" s="16">
        <v>0</v>
      </c>
      <c r="W29" s="15">
        <f t="shared" ref="W29:W33" si="6">P29*$P$15</f>
        <v>0</v>
      </c>
      <c r="X29" s="8">
        <f t="shared" si="5"/>
        <v>0.5</v>
      </c>
      <c r="Y29" s="8">
        <f t="shared" si="5"/>
        <v>0.5</v>
      </c>
      <c r="Z29" s="8">
        <f t="shared" si="5"/>
        <v>-0.5</v>
      </c>
      <c r="AA29" s="8">
        <f t="shared" si="5"/>
        <v>-0.5</v>
      </c>
      <c r="AB29" s="16">
        <f t="shared" si="5"/>
        <v>0</v>
      </c>
    </row>
    <row r="30" spans="2:28" x14ac:dyDescent="0.3">
      <c r="E30" s="17">
        <f>E25</f>
        <v>0</v>
      </c>
      <c r="F30" s="18">
        <f>E24</f>
        <v>-1</v>
      </c>
      <c r="G30" s="18">
        <f>F25</f>
        <v>-1</v>
      </c>
      <c r="H30" s="18">
        <f>F24</f>
        <v>1</v>
      </c>
      <c r="I30" s="18">
        <f>G25</f>
        <v>1</v>
      </c>
      <c r="J30" s="19">
        <f>G24</f>
        <v>0</v>
      </c>
      <c r="L30" s="15">
        <v>1</v>
      </c>
      <c r="M30" s="8">
        <v>0</v>
      </c>
      <c r="N30" s="16">
        <v>-1</v>
      </c>
      <c r="P30" s="15">
        <v>-1</v>
      </c>
      <c r="Q30" s="8">
        <v>1</v>
      </c>
      <c r="R30" s="8">
        <v>2</v>
      </c>
      <c r="S30" s="8">
        <v>-1</v>
      </c>
      <c r="T30" s="8">
        <v>-1</v>
      </c>
      <c r="U30" s="16">
        <v>0</v>
      </c>
      <c r="W30" s="15">
        <f t="shared" si="6"/>
        <v>-0.5</v>
      </c>
      <c r="X30" s="8">
        <f t="shared" si="5"/>
        <v>0.5</v>
      </c>
      <c r="Y30" s="8">
        <f t="shared" si="5"/>
        <v>1</v>
      </c>
      <c r="Z30" s="8">
        <f t="shared" si="5"/>
        <v>-0.5</v>
      </c>
      <c r="AA30" s="8">
        <f t="shared" si="5"/>
        <v>-0.5</v>
      </c>
      <c r="AB30" s="16">
        <f t="shared" si="5"/>
        <v>0</v>
      </c>
    </row>
    <row r="31" spans="2:28" x14ac:dyDescent="0.3">
      <c r="L31" s="15">
        <v>0</v>
      </c>
      <c r="M31" s="8">
        <v>-1</v>
      </c>
      <c r="N31" s="16">
        <v>1</v>
      </c>
      <c r="P31" s="15">
        <v>0</v>
      </c>
      <c r="Q31" s="8">
        <v>-1</v>
      </c>
      <c r="R31" s="8">
        <v>-1</v>
      </c>
      <c r="S31" s="8">
        <v>2</v>
      </c>
      <c r="T31" s="8">
        <v>1</v>
      </c>
      <c r="U31" s="16">
        <v>-1</v>
      </c>
      <c r="W31" s="15">
        <f t="shared" si="6"/>
        <v>0</v>
      </c>
      <c r="X31" s="8">
        <f t="shared" si="5"/>
        <v>-0.5</v>
      </c>
      <c r="Y31" s="8">
        <f t="shared" si="5"/>
        <v>-0.5</v>
      </c>
      <c r="Z31" s="8">
        <f t="shared" si="5"/>
        <v>1</v>
      </c>
      <c r="AA31" s="8">
        <f t="shared" si="5"/>
        <v>0.5</v>
      </c>
      <c r="AB31" s="16">
        <f t="shared" si="5"/>
        <v>-0.5</v>
      </c>
    </row>
    <row r="32" spans="2:28" x14ac:dyDescent="0.3">
      <c r="L32" s="15">
        <v>0</v>
      </c>
      <c r="M32" s="8">
        <v>0</v>
      </c>
      <c r="N32" s="16">
        <v>1</v>
      </c>
      <c r="P32" s="15">
        <v>0</v>
      </c>
      <c r="Q32" s="8">
        <v>-1</v>
      </c>
      <c r="R32" s="8">
        <v>-1</v>
      </c>
      <c r="S32" s="8">
        <v>1</v>
      </c>
      <c r="T32" s="8">
        <v>1</v>
      </c>
      <c r="U32" s="16">
        <v>0</v>
      </c>
      <c r="W32" s="15">
        <f t="shared" si="6"/>
        <v>0</v>
      </c>
      <c r="X32" s="8">
        <f t="shared" si="5"/>
        <v>-0.5</v>
      </c>
      <c r="Y32" s="8">
        <f t="shared" si="5"/>
        <v>-0.5</v>
      </c>
      <c r="Z32" s="8">
        <f t="shared" si="5"/>
        <v>0.5</v>
      </c>
      <c r="AA32" s="8">
        <f t="shared" si="5"/>
        <v>0.5</v>
      </c>
      <c r="AB32" s="16">
        <f t="shared" si="5"/>
        <v>0</v>
      </c>
    </row>
    <row r="33" spans="2:28" x14ac:dyDescent="0.3">
      <c r="L33" s="17">
        <v>0</v>
      </c>
      <c r="M33" s="18">
        <v>1</v>
      </c>
      <c r="N33" s="19">
        <v>0</v>
      </c>
      <c r="P33" s="17">
        <v>0</v>
      </c>
      <c r="Q33" s="18">
        <v>0</v>
      </c>
      <c r="R33" s="18">
        <v>0</v>
      </c>
      <c r="S33" s="18">
        <v>-1</v>
      </c>
      <c r="T33" s="18">
        <v>0</v>
      </c>
      <c r="U33" s="19">
        <v>1</v>
      </c>
      <c r="W33" s="17">
        <f t="shared" si="6"/>
        <v>0</v>
      </c>
      <c r="X33" s="18">
        <f t="shared" si="5"/>
        <v>0</v>
      </c>
      <c r="Y33" s="18">
        <f t="shared" si="5"/>
        <v>0</v>
      </c>
      <c r="Z33" s="18">
        <f t="shared" si="5"/>
        <v>-0.5</v>
      </c>
      <c r="AA33" s="18">
        <f t="shared" si="5"/>
        <v>0</v>
      </c>
      <c r="AB33" s="19">
        <f t="shared" si="5"/>
        <v>0.5</v>
      </c>
    </row>
    <row r="36" spans="2:28" x14ac:dyDescent="0.3">
      <c r="B36" t="s">
        <v>33</v>
      </c>
      <c r="F36" t="s">
        <v>4</v>
      </c>
      <c r="G36" t="s">
        <v>5</v>
      </c>
    </row>
    <row r="37" spans="2:28" x14ac:dyDescent="0.3">
      <c r="E37">
        <v>1</v>
      </c>
      <c r="F37" s="12">
        <f>D5</f>
        <v>0</v>
      </c>
      <c r="G37" s="12">
        <f>E5</f>
        <v>0</v>
      </c>
    </row>
    <row r="38" spans="2:28" x14ac:dyDescent="0.3">
      <c r="B38" t="s">
        <v>6</v>
      </c>
      <c r="E38">
        <v>3</v>
      </c>
      <c r="F38" s="15">
        <f>D7</f>
        <v>1</v>
      </c>
      <c r="G38" s="15">
        <f>E7</f>
        <v>1</v>
      </c>
    </row>
    <row r="39" spans="2:28" x14ac:dyDescent="0.3">
      <c r="B39" s="4"/>
      <c r="C39" s="4"/>
      <c r="D39" s="4"/>
      <c r="E39">
        <v>4</v>
      </c>
      <c r="F39" s="17">
        <f>D8</f>
        <v>0</v>
      </c>
      <c r="G39" s="17">
        <f>E8</f>
        <v>1</v>
      </c>
      <c r="K39" s="4"/>
      <c r="L39" s="4"/>
      <c r="M39" s="4"/>
      <c r="N39" s="4"/>
    </row>
    <row r="40" spans="2:28" ht="15" thickBot="1" x14ac:dyDescent="0.35">
      <c r="B40" t="s">
        <v>7</v>
      </c>
      <c r="C40" t="s">
        <v>8</v>
      </c>
      <c r="E40" t="s">
        <v>9</v>
      </c>
      <c r="J40" t="s">
        <v>10</v>
      </c>
      <c r="K40" s="4"/>
      <c r="N40" t="s">
        <v>11</v>
      </c>
      <c r="P40" t="s">
        <v>12</v>
      </c>
      <c r="R40" s="22" t="s">
        <v>29</v>
      </c>
      <c r="U40" t="s">
        <v>30</v>
      </c>
    </row>
    <row r="41" spans="2:28" x14ac:dyDescent="0.3">
      <c r="B41" s="5" t="s">
        <v>13</v>
      </c>
      <c r="C41" s="4">
        <f>1/3</f>
        <v>0.33333333333333331</v>
      </c>
      <c r="D41" s="4"/>
      <c r="E41" s="6">
        <v>-1</v>
      </c>
      <c r="F41" s="7">
        <v>1</v>
      </c>
      <c r="G41" s="1">
        <v>0</v>
      </c>
      <c r="H41" s="8"/>
      <c r="J41" s="6">
        <f t="array" ref="J41:K42">MMULT(E41:G42,F37:G39)</f>
        <v>1</v>
      </c>
      <c r="K41" s="1">
        <v>1</v>
      </c>
      <c r="L41" s="8"/>
      <c r="N41">
        <f>MDETERM(J41:K42)</f>
        <v>1</v>
      </c>
      <c r="P41">
        <f>N41*0.5</f>
        <v>0.5</v>
      </c>
      <c r="Q41" t="s">
        <v>31</v>
      </c>
      <c r="U41" s="11">
        <f t="array" ref="U41:V42">MINVERSE(J41:K42)</f>
        <v>1</v>
      </c>
      <c r="V41" s="11">
        <v>-1</v>
      </c>
    </row>
    <row r="42" spans="2:28" ht="15" thickBot="1" x14ac:dyDescent="0.35">
      <c r="B42" s="5" t="s">
        <v>14</v>
      </c>
      <c r="C42" s="4">
        <f>1/3</f>
        <v>0.33333333333333331</v>
      </c>
      <c r="D42" s="4"/>
      <c r="E42" s="9">
        <v>-1</v>
      </c>
      <c r="F42" s="10">
        <v>0</v>
      </c>
      <c r="G42" s="3">
        <v>1</v>
      </c>
      <c r="H42" s="8"/>
      <c r="J42" s="9">
        <v>0</v>
      </c>
      <c r="K42" s="3">
        <v>1</v>
      </c>
      <c r="L42" s="8"/>
      <c r="U42" s="11">
        <v>0</v>
      </c>
      <c r="V42" s="11">
        <v>1</v>
      </c>
    </row>
    <row r="43" spans="2:28" x14ac:dyDescent="0.3">
      <c r="B43" s="5"/>
      <c r="C43" s="4"/>
      <c r="D43" s="4"/>
      <c r="E43" s="8"/>
      <c r="F43" s="8"/>
      <c r="G43" s="8"/>
      <c r="H43" s="8"/>
      <c r="J43" s="8"/>
      <c r="K43" s="8"/>
      <c r="L43" s="8"/>
    </row>
    <row r="45" spans="2:28" x14ac:dyDescent="0.3">
      <c r="E45" s="4" t="s">
        <v>15</v>
      </c>
      <c r="F45" s="4" t="s">
        <v>16</v>
      </c>
      <c r="G45" s="4" t="s">
        <v>17</v>
      </c>
      <c r="H45" s="4"/>
      <c r="I45" s="4" t="s">
        <v>18</v>
      </c>
      <c r="J45" s="4"/>
      <c r="K45" s="4" t="s">
        <v>19</v>
      </c>
      <c r="L45" s="4"/>
      <c r="O45" t="s">
        <v>20</v>
      </c>
    </row>
    <row r="46" spans="2:28" x14ac:dyDescent="0.3">
      <c r="E46" s="4">
        <f>1-C41-C42</f>
        <v>0.33333333333333343</v>
      </c>
      <c r="F46" s="4">
        <f>C41</f>
        <v>0.33333333333333331</v>
      </c>
      <c r="G46" s="4">
        <f>C42</f>
        <v>0.33333333333333331</v>
      </c>
      <c r="H46" s="4"/>
      <c r="I46">
        <f t="array" ref="I46:I48">TRANSPOSE(E46:G46)</f>
        <v>0.33333333333333343</v>
      </c>
      <c r="K46">
        <f t="array" ref="K46:M48">MMULT(I46:I48,E46:G46)</f>
        <v>0.11111111111111117</v>
      </c>
      <c r="L46">
        <v>0.11111111111111113</v>
      </c>
      <c r="M46">
        <v>0.11111111111111113</v>
      </c>
      <c r="O46">
        <f>K46*$P$15</f>
        <v>5.5555555555555587E-2</v>
      </c>
      <c r="P46">
        <f t="shared" ref="P46:Q48" si="7">L46*$P$15</f>
        <v>5.5555555555555566E-2</v>
      </c>
      <c r="Q46">
        <f t="shared" si="7"/>
        <v>5.5555555555555566E-2</v>
      </c>
    </row>
    <row r="47" spans="2:28" x14ac:dyDescent="0.3">
      <c r="E47" t="s">
        <v>21</v>
      </c>
      <c r="I47">
        <v>0.33333333333333331</v>
      </c>
      <c r="K47">
        <v>0.11111111111111113</v>
      </c>
      <c r="L47">
        <v>0.1111111111111111</v>
      </c>
      <c r="M47">
        <v>0.1111111111111111</v>
      </c>
      <c r="O47">
        <f t="shared" ref="O47:O48" si="8">K47*$P$15</f>
        <v>5.5555555555555566E-2</v>
      </c>
      <c r="P47">
        <f t="shared" si="7"/>
        <v>5.5555555555555552E-2</v>
      </c>
      <c r="Q47">
        <f t="shared" si="7"/>
        <v>5.5555555555555552E-2</v>
      </c>
    </row>
    <row r="48" spans="2:28" x14ac:dyDescent="0.3">
      <c r="E48" s="4">
        <f>SUM(E46:G46)</f>
        <v>1</v>
      </c>
      <c r="I48">
        <v>0.33333333333333331</v>
      </c>
      <c r="K48">
        <v>0.11111111111111113</v>
      </c>
      <c r="L48">
        <v>0.1111111111111111</v>
      </c>
      <c r="M48">
        <v>0.1111111111111111</v>
      </c>
      <c r="O48">
        <f t="shared" si="8"/>
        <v>5.5555555555555566E-2</v>
      </c>
      <c r="P48">
        <f t="shared" si="7"/>
        <v>5.5555555555555552E-2</v>
      </c>
      <c r="Q48">
        <f t="shared" si="7"/>
        <v>5.5555555555555552E-2</v>
      </c>
    </row>
    <row r="49" spans="1:45" x14ac:dyDescent="0.3">
      <c r="V49" t="s">
        <v>27</v>
      </c>
    </row>
    <row r="50" spans="1:45" x14ac:dyDescent="0.3">
      <c r="E50" s="11">
        <f t="array" ref="E50:E51">MMULT($U$41:$V$42,E41:E42)</f>
        <v>0</v>
      </c>
      <c r="F50" s="11">
        <f t="array" ref="F50:F51">MMULT($U$41:$V$42,F41:F42)</f>
        <v>1</v>
      </c>
      <c r="G50" s="11">
        <f t="array" ref="G50:G51">MMULT($U$41:$V$42,G41:G42)</f>
        <v>-1</v>
      </c>
      <c r="O50" s="12">
        <f t="array" ref="O50:P52">TRANSPOSE(E50:G51)</f>
        <v>0</v>
      </c>
      <c r="P50" s="14">
        <v>-1</v>
      </c>
      <c r="R50" s="12">
        <f t="array" ref="R50:T52">MMULT(O50:P52,E50:G51)</f>
        <v>1</v>
      </c>
      <c r="S50" s="13">
        <v>0</v>
      </c>
      <c r="T50" s="14">
        <v>-1</v>
      </c>
      <c r="V50" s="12">
        <f>R50*$P$41</f>
        <v>0.5</v>
      </c>
      <c r="W50" s="13">
        <f t="shared" ref="W50:X52" si="9">S50*$P$41</f>
        <v>0</v>
      </c>
      <c r="X50" s="14">
        <f t="shared" si="9"/>
        <v>-0.5</v>
      </c>
    </row>
    <row r="51" spans="1:45" x14ac:dyDescent="0.3">
      <c r="D51" s="4"/>
      <c r="E51" s="11">
        <v>-1</v>
      </c>
      <c r="F51" s="11">
        <v>0</v>
      </c>
      <c r="G51" s="11">
        <v>1</v>
      </c>
      <c r="O51" s="15">
        <v>1</v>
      </c>
      <c r="P51" s="16">
        <v>0</v>
      </c>
      <c r="R51" s="15">
        <v>0</v>
      </c>
      <c r="S51" s="8">
        <v>1</v>
      </c>
      <c r="T51" s="16">
        <v>-1</v>
      </c>
      <c r="V51" s="12">
        <f>R51*$P$41</f>
        <v>0</v>
      </c>
      <c r="W51" s="8">
        <f t="shared" si="9"/>
        <v>0.5</v>
      </c>
      <c r="X51" s="16">
        <f t="shared" si="9"/>
        <v>-0.5</v>
      </c>
    </row>
    <row r="52" spans="1:45" x14ac:dyDescent="0.3">
      <c r="D52" s="4"/>
      <c r="O52" s="17">
        <v>-1</v>
      </c>
      <c r="P52" s="19">
        <v>1</v>
      </c>
      <c r="R52" s="17">
        <v>-1</v>
      </c>
      <c r="S52" s="18">
        <v>-1</v>
      </c>
      <c r="T52" s="19">
        <v>2</v>
      </c>
      <c r="V52" s="17">
        <f t="shared" ref="V52" si="10">R52*$P$41</f>
        <v>-0.5</v>
      </c>
      <c r="W52" s="18">
        <f t="shared" si="9"/>
        <v>-0.5</v>
      </c>
      <c r="X52" s="19">
        <f t="shared" si="9"/>
        <v>1</v>
      </c>
    </row>
    <row r="53" spans="1:45" x14ac:dyDescent="0.3">
      <c r="D53" s="4"/>
      <c r="E53" t="s">
        <v>22</v>
      </c>
      <c r="L53" t="s">
        <v>23</v>
      </c>
      <c r="P53" t="s">
        <v>24</v>
      </c>
      <c r="W53" t="s">
        <v>25</v>
      </c>
    </row>
    <row r="54" spans="1:45" x14ac:dyDescent="0.3">
      <c r="E54" s="12">
        <f>E50</f>
        <v>0</v>
      </c>
      <c r="F54" s="13">
        <v>0</v>
      </c>
      <c r="G54" s="13">
        <f>F50</f>
        <v>1</v>
      </c>
      <c r="H54" s="13">
        <v>0</v>
      </c>
      <c r="I54" s="13">
        <f>G50</f>
        <v>-1</v>
      </c>
      <c r="J54" s="14">
        <v>0</v>
      </c>
      <c r="L54" s="12">
        <f t="array" ref="L54:N59">TRANSPOSE(E54:J56)</f>
        <v>0</v>
      </c>
      <c r="M54" s="13">
        <v>0</v>
      </c>
      <c r="N54" s="14">
        <v>-1</v>
      </c>
      <c r="P54" s="12">
        <f t="array" ref="P54:U59">MMULT(L54:N59,E54:J56)</f>
        <v>1</v>
      </c>
      <c r="Q54" s="13">
        <v>0</v>
      </c>
      <c r="R54" s="13">
        <v>0</v>
      </c>
      <c r="S54" s="13">
        <v>-1</v>
      </c>
      <c r="T54" s="13">
        <v>-1</v>
      </c>
      <c r="U54" s="14">
        <v>1</v>
      </c>
      <c r="W54" s="12">
        <f>P54*$P$41</f>
        <v>0.5</v>
      </c>
      <c r="X54" s="12">
        <f t="shared" ref="X54:AB59" si="11">Q54*$P$41</f>
        <v>0</v>
      </c>
      <c r="Y54" s="12">
        <f t="shared" si="11"/>
        <v>0</v>
      </c>
      <c r="Z54" s="12">
        <f t="shared" si="11"/>
        <v>-0.5</v>
      </c>
      <c r="AA54" s="12">
        <f t="shared" si="11"/>
        <v>-0.5</v>
      </c>
      <c r="AB54" s="12">
        <f t="shared" si="11"/>
        <v>0.5</v>
      </c>
    </row>
    <row r="55" spans="1:45" x14ac:dyDescent="0.3">
      <c r="E55" s="15">
        <v>0</v>
      </c>
      <c r="F55" s="8">
        <f t="array" ref="F55">E51</f>
        <v>-1</v>
      </c>
      <c r="G55" s="8">
        <v>0</v>
      </c>
      <c r="H55" s="8">
        <f>F51</f>
        <v>0</v>
      </c>
      <c r="I55" s="8">
        <v>0</v>
      </c>
      <c r="J55" s="16">
        <f>G51</f>
        <v>1</v>
      </c>
      <c r="L55" s="15">
        <v>0</v>
      </c>
      <c r="M55" s="8">
        <v>-1</v>
      </c>
      <c r="N55" s="16">
        <v>0</v>
      </c>
      <c r="P55" s="15">
        <v>0</v>
      </c>
      <c r="Q55" s="8">
        <v>1</v>
      </c>
      <c r="R55" s="8">
        <v>0</v>
      </c>
      <c r="S55" s="8">
        <v>0</v>
      </c>
      <c r="T55" s="8">
        <v>0</v>
      </c>
      <c r="U55" s="16">
        <v>-1</v>
      </c>
      <c r="W55" s="12">
        <f t="shared" ref="W55:W59" si="12">P55*$P$41</f>
        <v>0</v>
      </c>
      <c r="X55" s="12">
        <f t="shared" si="11"/>
        <v>0.5</v>
      </c>
      <c r="Y55" s="12">
        <f t="shared" si="11"/>
        <v>0</v>
      </c>
      <c r="Z55" s="12">
        <f t="shared" si="11"/>
        <v>0</v>
      </c>
      <c r="AA55" s="12">
        <f t="shared" si="11"/>
        <v>0</v>
      </c>
      <c r="AB55" s="12">
        <f t="shared" si="11"/>
        <v>-0.5</v>
      </c>
    </row>
    <row r="56" spans="1:45" x14ac:dyDescent="0.3">
      <c r="E56" s="17">
        <f>E51</f>
        <v>-1</v>
      </c>
      <c r="F56" s="18">
        <f>E50</f>
        <v>0</v>
      </c>
      <c r="G56" s="18">
        <f>F51</f>
        <v>0</v>
      </c>
      <c r="H56" s="18">
        <f>F50</f>
        <v>1</v>
      </c>
      <c r="I56" s="18">
        <f>G51</f>
        <v>1</v>
      </c>
      <c r="J56" s="19">
        <f>G50</f>
        <v>-1</v>
      </c>
      <c r="L56" s="15">
        <v>1</v>
      </c>
      <c r="M56" s="8">
        <v>0</v>
      </c>
      <c r="N56" s="16">
        <v>0</v>
      </c>
      <c r="P56" s="15">
        <v>0</v>
      </c>
      <c r="Q56" s="8">
        <v>0</v>
      </c>
      <c r="R56" s="8">
        <v>1</v>
      </c>
      <c r="S56" s="8">
        <v>0</v>
      </c>
      <c r="T56" s="8">
        <v>-1</v>
      </c>
      <c r="U56" s="16">
        <v>0</v>
      </c>
      <c r="W56" s="12">
        <f t="shared" si="12"/>
        <v>0</v>
      </c>
      <c r="X56" s="12">
        <f t="shared" si="11"/>
        <v>0</v>
      </c>
      <c r="Y56" s="12">
        <f t="shared" si="11"/>
        <v>0.5</v>
      </c>
      <c r="Z56" s="12">
        <f t="shared" si="11"/>
        <v>0</v>
      </c>
      <c r="AA56" s="12">
        <f t="shared" si="11"/>
        <v>-0.5</v>
      </c>
      <c r="AB56" s="12">
        <f t="shared" si="11"/>
        <v>0</v>
      </c>
    </row>
    <row r="57" spans="1:45" x14ac:dyDescent="0.3">
      <c r="L57" s="15">
        <v>0</v>
      </c>
      <c r="M57" s="8">
        <v>0</v>
      </c>
      <c r="N57" s="16">
        <v>1</v>
      </c>
      <c r="P57" s="15">
        <v>-1</v>
      </c>
      <c r="Q57" s="8">
        <v>0</v>
      </c>
      <c r="R57" s="8">
        <v>0</v>
      </c>
      <c r="S57" s="8">
        <v>1</v>
      </c>
      <c r="T57" s="8">
        <v>1</v>
      </c>
      <c r="U57" s="16">
        <v>-1</v>
      </c>
      <c r="W57" s="12">
        <f t="shared" si="12"/>
        <v>-0.5</v>
      </c>
      <c r="X57" s="12">
        <f t="shared" si="11"/>
        <v>0</v>
      </c>
      <c r="Y57" s="12">
        <f t="shared" si="11"/>
        <v>0</v>
      </c>
      <c r="Z57" s="12">
        <f t="shared" si="11"/>
        <v>0.5</v>
      </c>
      <c r="AA57" s="12">
        <f t="shared" si="11"/>
        <v>0.5</v>
      </c>
      <c r="AB57" s="12">
        <f t="shared" si="11"/>
        <v>-0.5</v>
      </c>
    </row>
    <row r="58" spans="1:45" x14ac:dyDescent="0.3">
      <c r="L58" s="15">
        <v>-1</v>
      </c>
      <c r="M58" s="8">
        <v>0</v>
      </c>
      <c r="N58" s="16">
        <v>1</v>
      </c>
      <c r="P58" s="15">
        <v>-1</v>
      </c>
      <c r="Q58" s="8">
        <v>0</v>
      </c>
      <c r="R58" s="8">
        <v>-1</v>
      </c>
      <c r="S58" s="8">
        <v>1</v>
      </c>
      <c r="T58" s="8">
        <v>2</v>
      </c>
      <c r="U58" s="16">
        <v>-1</v>
      </c>
      <c r="W58" s="12">
        <f t="shared" si="12"/>
        <v>-0.5</v>
      </c>
      <c r="X58" s="12">
        <f t="shared" si="11"/>
        <v>0</v>
      </c>
      <c r="Y58" s="12">
        <f t="shared" si="11"/>
        <v>-0.5</v>
      </c>
      <c r="Z58" s="12">
        <f t="shared" si="11"/>
        <v>0.5</v>
      </c>
      <c r="AA58" s="12">
        <f t="shared" si="11"/>
        <v>1</v>
      </c>
      <c r="AB58" s="12">
        <f t="shared" si="11"/>
        <v>-0.5</v>
      </c>
    </row>
    <row r="59" spans="1:45" x14ac:dyDescent="0.3">
      <c r="L59" s="17">
        <v>0</v>
      </c>
      <c r="M59" s="18">
        <v>1</v>
      </c>
      <c r="N59" s="19">
        <v>-1</v>
      </c>
      <c r="P59" s="17">
        <v>1</v>
      </c>
      <c r="Q59" s="18">
        <v>-1</v>
      </c>
      <c r="R59" s="18">
        <v>0</v>
      </c>
      <c r="S59" s="18">
        <v>-1</v>
      </c>
      <c r="T59" s="18">
        <v>-1</v>
      </c>
      <c r="U59" s="19">
        <v>2</v>
      </c>
      <c r="W59" s="12">
        <f t="shared" si="12"/>
        <v>0.5</v>
      </c>
      <c r="X59" s="12">
        <f t="shared" si="11"/>
        <v>-0.5</v>
      </c>
      <c r="Y59" s="12">
        <f t="shared" si="11"/>
        <v>0</v>
      </c>
      <c r="Z59" s="12">
        <f t="shared" si="11"/>
        <v>-0.5</v>
      </c>
      <c r="AA59" s="12">
        <f t="shared" si="11"/>
        <v>-0.5</v>
      </c>
      <c r="AB59" s="12">
        <f t="shared" si="11"/>
        <v>1</v>
      </c>
    </row>
    <row r="60" spans="1:45" x14ac:dyDescent="0.3">
      <c r="A60" s="22" t="s">
        <v>87</v>
      </c>
    </row>
    <row r="61" spans="1:45" x14ac:dyDescent="0.3">
      <c r="M61" t="s">
        <v>37</v>
      </c>
      <c r="N61" t="s">
        <v>51</v>
      </c>
    </row>
    <row r="62" spans="1:45" x14ac:dyDescent="0.3">
      <c r="I62" t="s">
        <v>34</v>
      </c>
      <c r="R62" t="s">
        <v>52</v>
      </c>
      <c r="W62" t="s">
        <v>54</v>
      </c>
      <c r="AA62" t="s">
        <v>55</v>
      </c>
      <c r="AC62" t="s">
        <v>37</v>
      </c>
    </row>
    <row r="63" spans="1:45" x14ac:dyDescent="0.3">
      <c r="H63">
        <v>1</v>
      </c>
      <c r="I63" s="12">
        <f>O20</f>
        <v>5.5555555555555587E-2</v>
      </c>
      <c r="J63" s="13">
        <f t="shared" ref="I63:K65" si="13">P20</f>
        <v>5.5555555555555566E-2</v>
      </c>
      <c r="K63" s="14">
        <f t="shared" si="13"/>
        <v>5.5555555555555566E-2</v>
      </c>
      <c r="R63" s="12">
        <f>I63</f>
        <v>5.5555555555555587E-2</v>
      </c>
      <c r="S63" s="13">
        <f t="shared" ref="S63:T65" si="14">J63</f>
        <v>5.5555555555555566E-2</v>
      </c>
      <c r="T63" s="13">
        <f t="shared" si="14"/>
        <v>5.5555555555555566E-2</v>
      </c>
      <c r="U63" s="14">
        <v>0</v>
      </c>
      <c r="W63" s="12">
        <f>R63+R69</f>
        <v>0.11111111111111117</v>
      </c>
      <c r="X63" s="13">
        <f t="shared" ref="X63:Z66" si="15">S63+S69</f>
        <v>5.5555555555555566E-2</v>
      </c>
      <c r="Y63" s="13">
        <f t="shared" si="15"/>
        <v>0.11111111111111113</v>
      </c>
      <c r="Z63" s="14">
        <f t="shared" si="15"/>
        <v>5.5555555555555566E-2</v>
      </c>
      <c r="AA63" s="23">
        <f>SUM(W63:Z63)</f>
        <v>0.33333333333333348</v>
      </c>
      <c r="AC63" s="12">
        <f t="shared" ref="AC63:AF66" si="16">W63</f>
        <v>0.11111111111111117</v>
      </c>
      <c r="AD63" s="13">
        <f t="shared" si="16"/>
        <v>5.5555555555555566E-2</v>
      </c>
      <c r="AE63" s="13">
        <f t="shared" si="16"/>
        <v>0.11111111111111113</v>
      </c>
      <c r="AF63" s="13">
        <f t="shared" si="16"/>
        <v>5.5555555555555566E-2</v>
      </c>
      <c r="AG63" s="13">
        <v>0</v>
      </c>
      <c r="AH63" s="13">
        <v>0</v>
      </c>
      <c r="AI63" s="13">
        <v>0</v>
      </c>
      <c r="AJ63" s="14">
        <v>0</v>
      </c>
      <c r="AL63" s="12">
        <f>AA63</f>
        <v>0.33333333333333348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4">
        <v>0</v>
      </c>
    </row>
    <row r="64" spans="1:45" x14ac:dyDescent="0.3">
      <c r="H64">
        <v>2</v>
      </c>
      <c r="I64" s="15">
        <f t="shared" si="13"/>
        <v>5.5555555555555566E-2</v>
      </c>
      <c r="J64" s="8">
        <f t="shared" si="13"/>
        <v>5.5555555555555552E-2</v>
      </c>
      <c r="K64" s="16">
        <f t="shared" si="13"/>
        <v>5.5555555555555552E-2</v>
      </c>
      <c r="R64" s="15">
        <f t="shared" ref="R64:R65" si="17">I64</f>
        <v>5.5555555555555566E-2</v>
      </c>
      <c r="S64" s="8">
        <f t="shared" si="14"/>
        <v>5.5555555555555552E-2</v>
      </c>
      <c r="T64" s="8">
        <f t="shared" si="14"/>
        <v>5.5555555555555552E-2</v>
      </c>
      <c r="U64" s="16">
        <v>0</v>
      </c>
      <c r="W64" s="15">
        <f t="shared" ref="W64:W66" si="18">R64+R70</f>
        <v>5.5555555555555566E-2</v>
      </c>
      <c r="X64" s="8">
        <f t="shared" si="15"/>
        <v>5.5555555555555552E-2</v>
      </c>
      <c r="Y64" s="8">
        <f t="shared" si="15"/>
        <v>5.5555555555555552E-2</v>
      </c>
      <c r="Z64" s="16">
        <f t="shared" si="15"/>
        <v>0</v>
      </c>
      <c r="AA64" s="23">
        <f t="shared" ref="AA64:AA66" si="19">SUM(W64:Z64)</f>
        <v>0.16666666666666669</v>
      </c>
      <c r="AC64" s="15">
        <f t="shared" si="16"/>
        <v>5.5555555555555566E-2</v>
      </c>
      <c r="AD64" s="8">
        <f t="shared" si="16"/>
        <v>5.5555555555555552E-2</v>
      </c>
      <c r="AE64" s="8">
        <f t="shared" si="16"/>
        <v>5.5555555555555552E-2</v>
      </c>
      <c r="AF64" s="8">
        <f t="shared" si="16"/>
        <v>0</v>
      </c>
      <c r="AG64" s="8">
        <v>0</v>
      </c>
      <c r="AH64" s="8">
        <v>0</v>
      </c>
      <c r="AI64" s="8">
        <v>0</v>
      </c>
      <c r="AJ64" s="16">
        <v>0</v>
      </c>
      <c r="AL64" s="15">
        <v>0</v>
      </c>
      <c r="AM64" s="8">
        <f>AA64</f>
        <v>0.16666666666666669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16">
        <v>0</v>
      </c>
    </row>
    <row r="65" spans="8:45" x14ac:dyDescent="0.3">
      <c r="H65">
        <v>3</v>
      </c>
      <c r="I65" s="17">
        <f t="shared" si="13"/>
        <v>5.5555555555555566E-2</v>
      </c>
      <c r="J65" s="18">
        <f t="shared" si="13"/>
        <v>5.5555555555555552E-2</v>
      </c>
      <c r="K65" s="19">
        <f t="shared" si="13"/>
        <v>5.5555555555555552E-2</v>
      </c>
      <c r="R65" s="15">
        <f t="shared" si="17"/>
        <v>5.5555555555555566E-2</v>
      </c>
      <c r="S65" s="8">
        <f t="shared" si="14"/>
        <v>5.5555555555555552E-2</v>
      </c>
      <c r="T65" s="8">
        <f t="shared" si="14"/>
        <v>5.5555555555555552E-2</v>
      </c>
      <c r="U65" s="16">
        <v>0</v>
      </c>
      <c r="W65" s="15">
        <f t="shared" si="18"/>
        <v>0.11111111111111113</v>
      </c>
      <c r="X65" s="8">
        <f t="shared" si="15"/>
        <v>5.5555555555555552E-2</v>
      </c>
      <c r="Y65" s="8">
        <f t="shared" si="15"/>
        <v>0.1111111111111111</v>
      </c>
      <c r="Z65" s="16">
        <f t="shared" si="15"/>
        <v>5.5555555555555552E-2</v>
      </c>
      <c r="AA65" s="23">
        <f t="shared" si="19"/>
        <v>0.33333333333333337</v>
      </c>
      <c r="AC65" s="15">
        <f t="shared" si="16"/>
        <v>0.11111111111111113</v>
      </c>
      <c r="AD65" s="8">
        <f t="shared" si="16"/>
        <v>5.5555555555555552E-2</v>
      </c>
      <c r="AE65" s="8">
        <f t="shared" si="16"/>
        <v>0.1111111111111111</v>
      </c>
      <c r="AF65" s="8">
        <f t="shared" si="16"/>
        <v>5.5555555555555552E-2</v>
      </c>
      <c r="AG65" s="8">
        <v>0</v>
      </c>
      <c r="AH65" s="8">
        <v>0</v>
      </c>
      <c r="AI65" s="8">
        <v>0</v>
      </c>
      <c r="AJ65" s="16">
        <v>0</v>
      </c>
      <c r="AL65" s="15">
        <v>0</v>
      </c>
      <c r="AM65" s="8">
        <v>0</v>
      </c>
      <c r="AN65" s="8">
        <f>AA65</f>
        <v>0.33333333333333337</v>
      </c>
      <c r="AO65" s="8">
        <v>0</v>
      </c>
      <c r="AP65" s="8">
        <v>0</v>
      </c>
      <c r="AQ65" s="8">
        <v>0</v>
      </c>
      <c r="AR65" s="8">
        <v>0</v>
      </c>
      <c r="AS65" s="16">
        <v>0</v>
      </c>
    </row>
    <row r="66" spans="8:45" x14ac:dyDescent="0.3">
      <c r="R66" s="17">
        <v>0</v>
      </c>
      <c r="S66" s="18">
        <v>0</v>
      </c>
      <c r="T66" s="18">
        <v>0</v>
      </c>
      <c r="U66" s="19">
        <v>0</v>
      </c>
      <c r="W66" s="17">
        <f t="shared" si="18"/>
        <v>5.5555555555555566E-2</v>
      </c>
      <c r="X66" s="18">
        <f t="shared" si="15"/>
        <v>0</v>
      </c>
      <c r="Y66" s="18">
        <f t="shared" si="15"/>
        <v>5.5555555555555552E-2</v>
      </c>
      <c r="Z66" s="19">
        <f t="shared" si="15"/>
        <v>5.5555555555555552E-2</v>
      </c>
      <c r="AA66" s="23">
        <f t="shared" si="19"/>
        <v>0.16666666666666669</v>
      </c>
      <c r="AC66" s="15">
        <f t="shared" si="16"/>
        <v>5.5555555555555566E-2</v>
      </c>
      <c r="AD66" s="8">
        <f t="shared" si="16"/>
        <v>0</v>
      </c>
      <c r="AE66" s="8">
        <f t="shared" si="16"/>
        <v>5.5555555555555552E-2</v>
      </c>
      <c r="AF66" s="8">
        <f t="shared" si="16"/>
        <v>5.5555555555555552E-2</v>
      </c>
      <c r="AG66" s="8">
        <v>0</v>
      </c>
      <c r="AH66" s="8">
        <v>0</v>
      </c>
      <c r="AI66" s="8">
        <v>0</v>
      </c>
      <c r="AJ66" s="16">
        <v>0</v>
      </c>
      <c r="AL66" s="15">
        <v>0</v>
      </c>
      <c r="AM66" s="8">
        <v>0</v>
      </c>
      <c r="AN66" s="8">
        <v>0</v>
      </c>
      <c r="AO66" s="8">
        <f>AA66</f>
        <v>0.16666666666666669</v>
      </c>
      <c r="AP66" s="8">
        <v>0</v>
      </c>
      <c r="AQ66" s="8">
        <v>0</v>
      </c>
      <c r="AR66" s="8">
        <v>0</v>
      </c>
      <c r="AS66" s="16">
        <v>0</v>
      </c>
    </row>
    <row r="67" spans="8:45" x14ac:dyDescent="0.3">
      <c r="I67" t="s">
        <v>35</v>
      </c>
      <c r="AC67" s="15">
        <v>0</v>
      </c>
      <c r="AD67" s="8">
        <v>0</v>
      </c>
      <c r="AE67" s="8">
        <v>0</v>
      </c>
      <c r="AF67" s="8">
        <v>0</v>
      </c>
      <c r="AG67" s="8">
        <f t="shared" ref="AG67:AJ70" si="20">W63</f>
        <v>0.11111111111111117</v>
      </c>
      <c r="AH67" s="8">
        <f t="shared" si="20"/>
        <v>5.5555555555555566E-2</v>
      </c>
      <c r="AI67" s="8">
        <f t="shared" si="20"/>
        <v>0.11111111111111113</v>
      </c>
      <c r="AJ67" s="16">
        <f t="shared" si="20"/>
        <v>5.5555555555555566E-2</v>
      </c>
      <c r="AL67" s="15">
        <v>0</v>
      </c>
      <c r="AM67" s="8">
        <v>0</v>
      </c>
      <c r="AN67" s="8">
        <v>0</v>
      </c>
      <c r="AO67" s="8">
        <v>0</v>
      </c>
      <c r="AP67" s="8">
        <f>AA63</f>
        <v>0.33333333333333348</v>
      </c>
      <c r="AQ67" s="8">
        <v>0</v>
      </c>
      <c r="AR67" s="8">
        <v>0</v>
      </c>
      <c r="AS67" s="16">
        <v>0</v>
      </c>
    </row>
    <row r="68" spans="8:45" x14ac:dyDescent="0.3">
      <c r="H68">
        <v>1</v>
      </c>
      <c r="I68" s="12">
        <f t="shared" ref="I68:K70" si="21">O46</f>
        <v>5.5555555555555587E-2</v>
      </c>
      <c r="J68" s="13">
        <f t="shared" si="21"/>
        <v>5.5555555555555566E-2</v>
      </c>
      <c r="K68" s="14">
        <f t="shared" si="21"/>
        <v>5.5555555555555566E-2</v>
      </c>
      <c r="R68" t="s">
        <v>53</v>
      </c>
      <c r="AC68" s="15">
        <v>0</v>
      </c>
      <c r="AD68" s="8">
        <v>0</v>
      </c>
      <c r="AE68" s="8">
        <v>0</v>
      </c>
      <c r="AF68" s="8">
        <v>0</v>
      </c>
      <c r="AG68" s="8">
        <f t="shared" si="20"/>
        <v>5.5555555555555566E-2</v>
      </c>
      <c r="AH68" s="8">
        <f t="shared" si="20"/>
        <v>5.5555555555555552E-2</v>
      </c>
      <c r="AI68" s="8">
        <f t="shared" si="20"/>
        <v>5.5555555555555552E-2</v>
      </c>
      <c r="AJ68" s="16">
        <f t="shared" si="20"/>
        <v>0</v>
      </c>
      <c r="AL68" s="15">
        <v>0</v>
      </c>
      <c r="AM68" s="8">
        <v>0</v>
      </c>
      <c r="AN68" s="8">
        <v>0</v>
      </c>
      <c r="AO68" s="8">
        <v>0</v>
      </c>
      <c r="AP68" s="8">
        <v>0</v>
      </c>
      <c r="AQ68" s="8">
        <f>AA64</f>
        <v>0.16666666666666669</v>
      </c>
      <c r="AR68" s="8">
        <v>0</v>
      </c>
      <c r="AS68" s="16">
        <v>0</v>
      </c>
    </row>
    <row r="69" spans="8:45" x14ac:dyDescent="0.3">
      <c r="H69">
        <v>3</v>
      </c>
      <c r="I69" s="15">
        <f t="shared" si="21"/>
        <v>5.5555555555555566E-2</v>
      </c>
      <c r="J69" s="8">
        <f t="shared" si="21"/>
        <v>5.5555555555555552E-2</v>
      </c>
      <c r="K69" s="16">
        <f t="shared" si="21"/>
        <v>5.5555555555555552E-2</v>
      </c>
      <c r="R69" s="12">
        <f>I68</f>
        <v>5.5555555555555587E-2</v>
      </c>
      <c r="S69" s="13">
        <v>0</v>
      </c>
      <c r="T69" s="13">
        <f>J68</f>
        <v>5.5555555555555566E-2</v>
      </c>
      <c r="U69" s="14">
        <f>K68</f>
        <v>5.5555555555555566E-2</v>
      </c>
      <c r="AC69" s="15">
        <v>0</v>
      </c>
      <c r="AD69" s="8">
        <v>0</v>
      </c>
      <c r="AE69" s="8">
        <v>0</v>
      </c>
      <c r="AF69" s="8">
        <v>0</v>
      </c>
      <c r="AG69" s="8">
        <f t="shared" si="20"/>
        <v>0.11111111111111113</v>
      </c>
      <c r="AH69" s="8">
        <f t="shared" si="20"/>
        <v>5.5555555555555552E-2</v>
      </c>
      <c r="AI69" s="8">
        <f t="shared" si="20"/>
        <v>0.1111111111111111</v>
      </c>
      <c r="AJ69" s="16">
        <f t="shared" si="20"/>
        <v>5.5555555555555552E-2</v>
      </c>
      <c r="AL69" s="15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f>AA65</f>
        <v>0.33333333333333337</v>
      </c>
      <c r="AS69" s="16">
        <v>0</v>
      </c>
    </row>
    <row r="70" spans="8:45" x14ac:dyDescent="0.3">
      <c r="H70">
        <v>4</v>
      </c>
      <c r="I70" s="17">
        <f t="shared" si="21"/>
        <v>5.5555555555555566E-2</v>
      </c>
      <c r="J70" s="18">
        <f t="shared" si="21"/>
        <v>5.5555555555555552E-2</v>
      </c>
      <c r="K70" s="19">
        <f t="shared" si="21"/>
        <v>5.5555555555555552E-2</v>
      </c>
      <c r="R70" s="15">
        <v>0</v>
      </c>
      <c r="S70" s="8">
        <v>0</v>
      </c>
      <c r="T70" s="8">
        <v>0</v>
      </c>
      <c r="U70" s="16">
        <v>0</v>
      </c>
      <c r="AC70" s="17">
        <v>0</v>
      </c>
      <c r="AD70" s="18">
        <v>0</v>
      </c>
      <c r="AE70" s="18">
        <v>0</v>
      </c>
      <c r="AF70" s="18">
        <v>0</v>
      </c>
      <c r="AG70" s="18">
        <f t="shared" si="20"/>
        <v>5.5555555555555566E-2</v>
      </c>
      <c r="AH70" s="18">
        <f t="shared" si="20"/>
        <v>0</v>
      </c>
      <c r="AI70" s="18">
        <f t="shared" si="20"/>
        <v>5.5555555555555552E-2</v>
      </c>
      <c r="AJ70" s="19">
        <f t="shared" si="20"/>
        <v>5.5555555555555552E-2</v>
      </c>
      <c r="AL70" s="17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9">
        <f>AA66</f>
        <v>0.16666666666666669</v>
      </c>
    </row>
    <row r="71" spans="8:45" x14ac:dyDescent="0.3">
      <c r="R71" s="15">
        <f>I69</f>
        <v>5.5555555555555566E-2</v>
      </c>
      <c r="S71" s="8">
        <v>0</v>
      </c>
      <c r="T71" s="8">
        <f>J69</f>
        <v>5.5555555555555552E-2</v>
      </c>
      <c r="U71" s="16">
        <f>K69</f>
        <v>5.5555555555555552E-2</v>
      </c>
    </row>
    <row r="72" spans="8:45" x14ac:dyDescent="0.3">
      <c r="R72" s="17">
        <f>I70</f>
        <v>5.5555555555555566E-2</v>
      </c>
      <c r="S72" s="18">
        <v>0</v>
      </c>
      <c r="T72" s="18">
        <f>J70</f>
        <v>5.5555555555555552E-2</v>
      </c>
      <c r="U72" s="19">
        <f>K70</f>
        <v>5.5555555555555552E-2</v>
      </c>
      <c r="AL72" t="s">
        <v>60</v>
      </c>
    </row>
    <row r="73" spans="8:45" x14ac:dyDescent="0.3">
      <c r="AL73">
        <f t="array" ref="AL73:AS80">MINVERSE(AL63:AS70)</f>
        <v>2.9999999999999987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8:45" x14ac:dyDescent="0.3">
      <c r="AL74">
        <v>0</v>
      </c>
      <c r="AM74">
        <v>5.9999999999999991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8:45" x14ac:dyDescent="0.3">
      <c r="AL75">
        <v>0</v>
      </c>
      <c r="AM75">
        <v>0</v>
      </c>
      <c r="AN75">
        <v>2.9999999999999996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8:45" x14ac:dyDescent="0.3">
      <c r="I76" t="s">
        <v>26</v>
      </c>
      <c r="W76" t="s">
        <v>57</v>
      </c>
      <c r="X76" t="s">
        <v>51</v>
      </c>
      <c r="AL76">
        <v>0</v>
      </c>
      <c r="AM76">
        <v>0</v>
      </c>
      <c r="AN76">
        <v>0</v>
      </c>
      <c r="AO76">
        <v>5.9999999999999991</v>
      </c>
      <c r="AP76">
        <v>0</v>
      </c>
      <c r="AQ76">
        <v>0</v>
      </c>
      <c r="AR76">
        <v>0</v>
      </c>
      <c r="AS76">
        <v>0</v>
      </c>
    </row>
    <row r="77" spans="8:45" x14ac:dyDescent="0.3">
      <c r="H77">
        <v>1</v>
      </c>
      <c r="I77" s="12">
        <f>V24*$H$294</f>
        <v>5.5416588993665139E-2</v>
      </c>
      <c r="J77" s="12">
        <f t="shared" ref="J77:K77" si="22">W24*$H$294</f>
        <v>-5.5416588993665139E-2</v>
      </c>
      <c r="K77" s="12">
        <f t="shared" si="22"/>
        <v>0</v>
      </c>
      <c r="M77" s="12">
        <f>I77</f>
        <v>5.5416588993665139E-2</v>
      </c>
      <c r="N77" s="12">
        <f t="shared" ref="N77:O79" si="23">J77</f>
        <v>-5.5416588993665139E-2</v>
      </c>
      <c r="O77" s="12">
        <f t="shared" si="23"/>
        <v>0</v>
      </c>
      <c r="P77" s="14">
        <v>0</v>
      </c>
      <c r="R77" s="12">
        <f>M77+M82</f>
        <v>0.11051402300182486</v>
      </c>
      <c r="S77" s="13">
        <f t="shared" ref="S77:U80" si="24">N77+N82</f>
        <v>-5.5416588993665139E-2</v>
      </c>
      <c r="T77" s="13">
        <f t="shared" si="24"/>
        <v>0</v>
      </c>
      <c r="U77" s="14">
        <f t="shared" si="24"/>
        <v>-5.5097434008159724E-2</v>
      </c>
      <c r="W77" s="12">
        <f>R77</f>
        <v>0.11051402300182486</v>
      </c>
      <c r="X77" s="13">
        <f t="shared" ref="X77:Z80" si="25">S77</f>
        <v>-5.5416588993665139E-2</v>
      </c>
      <c r="Y77" s="13">
        <f t="shared" si="25"/>
        <v>0</v>
      </c>
      <c r="Z77" s="13">
        <f t="shared" si="25"/>
        <v>-5.5097434008159724E-2</v>
      </c>
      <c r="AA77" s="13">
        <v>0</v>
      </c>
      <c r="AB77" s="13">
        <v>0</v>
      </c>
      <c r="AC77" s="13">
        <v>0</v>
      </c>
      <c r="AD77" s="14">
        <v>0</v>
      </c>
      <c r="AL77">
        <v>0</v>
      </c>
      <c r="AM77">
        <v>0</v>
      </c>
      <c r="AN77">
        <v>0</v>
      </c>
      <c r="AO77">
        <v>0</v>
      </c>
      <c r="AP77">
        <v>2.9999999999999987</v>
      </c>
      <c r="AQ77">
        <v>0</v>
      </c>
      <c r="AR77">
        <v>0</v>
      </c>
      <c r="AS77">
        <v>0</v>
      </c>
    </row>
    <row r="78" spans="8:45" x14ac:dyDescent="0.3">
      <c r="H78">
        <v>2</v>
      </c>
      <c r="I78" s="12">
        <f t="shared" ref="I78:I79" si="26">V25*$H$294</f>
        <v>-5.5416588993665139E-2</v>
      </c>
      <c r="J78" s="12">
        <f t="shared" ref="J78:J79" si="27">W25*$H$294</f>
        <v>0.11083317798733028</v>
      </c>
      <c r="K78" s="12">
        <f t="shared" ref="K78:K79" si="28">X25*$H$294</f>
        <v>-5.5416588993665139E-2</v>
      </c>
      <c r="M78" s="12">
        <f t="shared" ref="M78:M79" si="29">I78</f>
        <v>-5.5416588993665139E-2</v>
      </c>
      <c r="N78" s="12">
        <f t="shared" si="23"/>
        <v>0.11083317798733028</v>
      </c>
      <c r="O78" s="12">
        <f t="shared" si="23"/>
        <v>-5.5416588993665139E-2</v>
      </c>
      <c r="P78" s="16">
        <v>0</v>
      </c>
      <c r="R78" s="15">
        <f t="shared" ref="R78:R80" si="30">M78+M83</f>
        <v>-5.5416588993665139E-2</v>
      </c>
      <c r="S78" s="8">
        <f t="shared" si="24"/>
        <v>0.11083317798733028</v>
      </c>
      <c r="T78" s="8">
        <f t="shared" si="24"/>
        <v>-5.5416588993665139E-2</v>
      </c>
      <c r="U78" s="16">
        <f t="shared" si="24"/>
        <v>0</v>
      </c>
      <c r="W78" s="15">
        <f t="shared" ref="W78:W80" si="31">R78</f>
        <v>-5.5416588993665139E-2</v>
      </c>
      <c r="X78" s="8">
        <f t="shared" si="25"/>
        <v>0.11083317798733028</v>
      </c>
      <c r="Y78" s="8">
        <f t="shared" si="25"/>
        <v>-5.5416588993665139E-2</v>
      </c>
      <c r="Z78" s="8">
        <f t="shared" si="25"/>
        <v>0</v>
      </c>
      <c r="AA78" s="8">
        <v>0</v>
      </c>
      <c r="AB78" s="8">
        <v>0</v>
      </c>
      <c r="AC78" s="8">
        <v>0</v>
      </c>
      <c r="AD78" s="16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5.9999999999999991</v>
      </c>
      <c r="AR78">
        <v>0</v>
      </c>
      <c r="AS78">
        <v>0</v>
      </c>
    </row>
    <row r="79" spans="8:45" x14ac:dyDescent="0.3">
      <c r="H79">
        <v>3</v>
      </c>
      <c r="I79" s="12">
        <f t="shared" si="26"/>
        <v>0</v>
      </c>
      <c r="J79" s="12">
        <f t="shared" si="27"/>
        <v>-5.5416588993665139E-2</v>
      </c>
      <c r="K79" s="12">
        <f t="shared" si="28"/>
        <v>5.5416588993665139E-2</v>
      </c>
      <c r="M79" s="12">
        <f t="shared" si="29"/>
        <v>0</v>
      </c>
      <c r="N79" s="12">
        <f t="shared" si="23"/>
        <v>-5.5416588993665139E-2</v>
      </c>
      <c r="O79" s="12">
        <f t="shared" si="23"/>
        <v>5.5416588993665139E-2</v>
      </c>
      <c r="P79" s="16">
        <v>0</v>
      </c>
      <c r="R79" s="15">
        <f t="shared" si="30"/>
        <v>0</v>
      </c>
      <c r="S79" s="8">
        <f t="shared" si="24"/>
        <v>-5.5416588993665139E-2</v>
      </c>
      <c r="T79" s="8">
        <f t="shared" si="24"/>
        <v>0.11051402300182486</v>
      </c>
      <c r="U79" s="16">
        <f t="shared" si="24"/>
        <v>-5.5097434008159724E-2</v>
      </c>
      <c r="W79" s="15">
        <f t="shared" si="31"/>
        <v>0</v>
      </c>
      <c r="X79" s="8">
        <f t="shared" si="25"/>
        <v>-5.5416588993665139E-2</v>
      </c>
      <c r="Y79" s="8">
        <f t="shared" si="25"/>
        <v>0.11051402300182486</v>
      </c>
      <c r="Z79" s="8">
        <f t="shared" si="25"/>
        <v>-5.5097434008159724E-2</v>
      </c>
      <c r="AA79" s="8">
        <v>0</v>
      </c>
      <c r="AB79" s="8">
        <v>0</v>
      </c>
      <c r="AC79" s="8">
        <v>0</v>
      </c>
      <c r="AD79" s="16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2.9999999999999996</v>
      </c>
      <c r="AS79">
        <v>0</v>
      </c>
    </row>
    <row r="80" spans="8:45" x14ac:dyDescent="0.3">
      <c r="M80" s="17">
        <v>0</v>
      </c>
      <c r="N80" s="18">
        <v>0</v>
      </c>
      <c r="O80" s="18">
        <v>0</v>
      </c>
      <c r="P80" s="19">
        <v>0</v>
      </c>
      <c r="R80" s="17">
        <f t="shared" si="30"/>
        <v>-5.5097434008159724E-2</v>
      </c>
      <c r="S80" s="18">
        <f t="shared" si="24"/>
        <v>0</v>
      </c>
      <c r="T80" s="18">
        <f t="shared" si="24"/>
        <v>-5.5097434008159724E-2</v>
      </c>
      <c r="U80" s="19">
        <f t="shared" si="24"/>
        <v>0.11019486801631945</v>
      </c>
      <c r="W80" s="15">
        <f t="shared" si="31"/>
        <v>-5.5097434008159724E-2</v>
      </c>
      <c r="X80" s="8">
        <f t="shared" si="25"/>
        <v>0</v>
      </c>
      <c r="Y80" s="8">
        <f t="shared" si="25"/>
        <v>-5.5097434008159724E-2</v>
      </c>
      <c r="Z80" s="8">
        <f t="shared" si="25"/>
        <v>0.11019486801631945</v>
      </c>
      <c r="AA80" s="8">
        <v>0</v>
      </c>
      <c r="AB80" s="8">
        <v>0</v>
      </c>
      <c r="AC80" s="8">
        <v>0</v>
      </c>
      <c r="AD80" s="16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5.9999999999999991</v>
      </c>
    </row>
    <row r="81" spans="1:30" x14ac:dyDescent="0.3">
      <c r="I81" t="s">
        <v>27</v>
      </c>
      <c r="W81" s="15">
        <v>0</v>
      </c>
      <c r="X81" s="8">
        <v>0</v>
      </c>
      <c r="Y81" s="8">
        <v>0</v>
      </c>
      <c r="Z81" s="8">
        <v>0</v>
      </c>
      <c r="AA81" s="8">
        <f>R77</f>
        <v>0.11051402300182486</v>
      </c>
      <c r="AB81" s="8">
        <f t="shared" ref="AB81:AD84" si="32">S77</f>
        <v>-5.5416588993665139E-2</v>
      </c>
      <c r="AC81" s="8">
        <f t="shared" si="32"/>
        <v>0</v>
      </c>
      <c r="AD81" s="16">
        <f t="shared" si="32"/>
        <v>-5.5097434008159724E-2</v>
      </c>
    </row>
    <row r="82" spans="1:30" x14ac:dyDescent="0.3">
      <c r="H82">
        <v>1</v>
      </c>
      <c r="I82" s="12">
        <f>V50*$J$294</f>
        <v>5.5097434008159724E-2</v>
      </c>
      <c r="J82" s="12">
        <f t="shared" ref="J82:K82" si="33">W50*$J$294</f>
        <v>0</v>
      </c>
      <c r="K82" s="12">
        <f t="shared" si="33"/>
        <v>-5.5097434008159724E-2</v>
      </c>
      <c r="M82" s="12">
        <f>I82</f>
        <v>5.5097434008159724E-2</v>
      </c>
      <c r="N82" s="13">
        <v>0</v>
      </c>
      <c r="O82" s="13">
        <f>J82</f>
        <v>0</v>
      </c>
      <c r="P82" s="13">
        <f>K82</f>
        <v>-5.5097434008159724E-2</v>
      </c>
      <c r="W82" s="15">
        <v>0</v>
      </c>
      <c r="X82" s="8">
        <v>0</v>
      </c>
      <c r="Y82" s="8">
        <v>0</v>
      </c>
      <c r="Z82" s="8">
        <v>0</v>
      </c>
      <c r="AA82" s="8">
        <f t="shared" ref="AA82:AA84" si="34">R78</f>
        <v>-5.5416588993665139E-2</v>
      </c>
      <c r="AB82" s="8">
        <f t="shared" si="32"/>
        <v>0.11083317798733028</v>
      </c>
      <c r="AC82" s="8">
        <f t="shared" si="32"/>
        <v>-5.5416588993665139E-2</v>
      </c>
      <c r="AD82" s="16">
        <f t="shared" si="32"/>
        <v>0</v>
      </c>
    </row>
    <row r="83" spans="1:30" x14ac:dyDescent="0.3">
      <c r="H83">
        <v>3</v>
      </c>
      <c r="I83" s="12">
        <f t="shared" ref="I83:I84" si="35">V51*$J$294</f>
        <v>0</v>
      </c>
      <c r="J83" s="12">
        <f t="shared" ref="J83:J84" si="36">W51*$J$294</f>
        <v>5.5097434008159724E-2</v>
      </c>
      <c r="K83" s="12">
        <f t="shared" ref="K83:K84" si="37">X51*$J$294</f>
        <v>-5.5097434008159724E-2</v>
      </c>
      <c r="M83" s="15">
        <v>0</v>
      </c>
      <c r="N83" s="8">
        <v>0</v>
      </c>
      <c r="O83" s="8">
        <v>0</v>
      </c>
      <c r="P83" s="16">
        <v>0</v>
      </c>
      <c r="W83" s="15">
        <v>0</v>
      </c>
      <c r="X83" s="8">
        <v>0</v>
      </c>
      <c r="Y83" s="8">
        <v>0</v>
      </c>
      <c r="Z83" s="8">
        <v>0</v>
      </c>
      <c r="AA83" s="8">
        <f t="shared" si="34"/>
        <v>0</v>
      </c>
      <c r="AB83" s="8">
        <f t="shared" si="32"/>
        <v>-5.5416588993665139E-2</v>
      </c>
      <c r="AC83" s="8">
        <f t="shared" si="32"/>
        <v>0.11051402300182486</v>
      </c>
      <c r="AD83" s="16">
        <f t="shared" si="32"/>
        <v>-5.5097434008159724E-2</v>
      </c>
    </row>
    <row r="84" spans="1:30" x14ac:dyDescent="0.3">
      <c r="H84">
        <v>4</v>
      </c>
      <c r="I84" s="12">
        <f t="shared" si="35"/>
        <v>-5.5097434008159724E-2</v>
      </c>
      <c r="J84" s="12">
        <f t="shared" si="36"/>
        <v>-5.5097434008159724E-2</v>
      </c>
      <c r="K84" s="12">
        <f t="shared" si="37"/>
        <v>0.11019486801631945</v>
      </c>
      <c r="M84" s="15">
        <v>0</v>
      </c>
      <c r="N84" s="23">
        <v>0</v>
      </c>
      <c r="O84" s="8">
        <f>J83</f>
        <v>5.5097434008159724E-2</v>
      </c>
      <c r="P84" s="8">
        <f>K83</f>
        <v>-5.5097434008159724E-2</v>
      </c>
      <c r="W84" s="17">
        <v>0</v>
      </c>
      <c r="X84" s="18">
        <v>0</v>
      </c>
      <c r="Y84" s="18">
        <v>0</v>
      </c>
      <c r="Z84" s="18">
        <v>0</v>
      </c>
      <c r="AA84" s="18">
        <f t="shared" si="34"/>
        <v>-5.5097434008159724E-2</v>
      </c>
      <c r="AB84" s="18">
        <f t="shared" si="32"/>
        <v>0</v>
      </c>
      <c r="AC84" s="18">
        <f t="shared" si="32"/>
        <v>-5.5097434008159724E-2</v>
      </c>
      <c r="AD84" s="19">
        <f t="shared" si="32"/>
        <v>0.11019486801631945</v>
      </c>
    </row>
    <row r="85" spans="1:30" x14ac:dyDescent="0.3">
      <c r="M85" s="15">
        <f>I84</f>
        <v>-5.5097434008159724E-2</v>
      </c>
      <c r="N85" s="18">
        <v>0</v>
      </c>
      <c r="O85" s="8">
        <f>J84</f>
        <v>-5.5097434008159724E-2</v>
      </c>
      <c r="P85" s="8">
        <f>K84</f>
        <v>0.11019486801631945</v>
      </c>
    </row>
    <row r="86" spans="1:30" x14ac:dyDescent="0.3">
      <c r="A86" t="s">
        <v>86</v>
      </c>
      <c r="J86" t="s">
        <v>85</v>
      </c>
    </row>
    <row r="87" spans="1:30" x14ac:dyDescent="0.3">
      <c r="A87" t="s">
        <v>38</v>
      </c>
      <c r="J87" t="s">
        <v>41</v>
      </c>
      <c r="K87" t="s">
        <v>42</v>
      </c>
    </row>
    <row r="88" spans="1:30" x14ac:dyDescent="0.3">
      <c r="H88" t="s">
        <v>43</v>
      </c>
      <c r="J88" s="36">
        <f>(C187+C189+C191)/3</f>
        <v>0.39803618356773418</v>
      </c>
      <c r="K88" s="36">
        <f>(C188+C190+C192)/3</f>
        <v>-0.10524785002820025</v>
      </c>
    </row>
    <row r="89" spans="1:30" x14ac:dyDescent="0.3">
      <c r="H89" t="s">
        <v>39</v>
      </c>
      <c r="L89" t="s">
        <v>36</v>
      </c>
    </row>
    <row r="90" spans="1:30" x14ac:dyDescent="0.3">
      <c r="H90" s="12">
        <f t="array" ref="H90:J92">P41*MMULT(I20:I22,E24:G24)</f>
        <v>-0.16666666666666671</v>
      </c>
      <c r="I90" s="13">
        <v>0.16666666666666671</v>
      </c>
      <c r="J90" s="14">
        <v>0</v>
      </c>
      <c r="K90">
        <v>1</v>
      </c>
      <c r="L90" s="12">
        <f t="array" ref="L90">$J$88*H90+$K$88*H95</f>
        <v>-6.6339363927955711E-2</v>
      </c>
      <c r="M90" s="13">
        <f t="shared" ref="M90:N92" si="38">$J$88*I90+$K$88*I95</f>
        <v>8.3880672265989095E-2</v>
      </c>
      <c r="N90" s="14">
        <f t="shared" si="38"/>
        <v>-1.7541308338033381E-2</v>
      </c>
    </row>
    <row r="91" spans="1:30" x14ac:dyDescent="0.3">
      <c r="H91" s="15">
        <v>-0.16666666666666666</v>
      </c>
      <c r="I91" s="8">
        <v>0.16666666666666666</v>
      </c>
      <c r="J91" s="16">
        <v>0</v>
      </c>
      <c r="K91">
        <v>2</v>
      </c>
      <c r="L91" s="15">
        <f t="shared" ref="L91:L92" si="39">$J$88*H91+$K$88*H96</f>
        <v>-6.6339363927955697E-2</v>
      </c>
      <c r="M91" s="8">
        <f t="shared" si="38"/>
        <v>8.3880672265989067E-2</v>
      </c>
      <c r="N91" s="16">
        <f t="shared" si="38"/>
        <v>-1.7541308338033374E-2</v>
      </c>
    </row>
    <row r="92" spans="1:30" x14ac:dyDescent="0.3">
      <c r="H92" s="17">
        <v>-0.16666666666666666</v>
      </c>
      <c r="I92" s="18">
        <v>0.16666666666666666</v>
      </c>
      <c r="J92" s="19">
        <v>0</v>
      </c>
      <c r="K92">
        <v>3</v>
      </c>
      <c r="L92" s="17">
        <f t="shared" si="39"/>
        <v>-6.6339363927955697E-2</v>
      </c>
      <c r="M92" s="18">
        <f t="shared" si="38"/>
        <v>8.3880672265989067E-2</v>
      </c>
      <c r="N92" s="19">
        <f t="shared" si="38"/>
        <v>-1.7541308338033374E-2</v>
      </c>
    </row>
    <row r="94" spans="1:30" x14ac:dyDescent="0.3">
      <c r="H94" t="s">
        <v>40</v>
      </c>
      <c r="L94" s="12">
        <f>L90</f>
        <v>-6.6339363927955711E-2</v>
      </c>
      <c r="M94" s="12">
        <f t="shared" ref="M94:N94" si="40">M90</f>
        <v>8.3880672265989095E-2</v>
      </c>
      <c r="N94" s="12">
        <f t="shared" si="40"/>
        <v>-1.7541308338033381E-2</v>
      </c>
      <c r="O94" s="14">
        <v>0</v>
      </c>
      <c r="Q94" s="12">
        <f>L94+L106</f>
        <v>-8.5529907307083902E-2</v>
      </c>
      <c r="R94" s="12">
        <f t="shared" ref="R94:T97" si="41">M94+M106</f>
        <v>8.3880672265989095E-2</v>
      </c>
      <c r="S94" s="12">
        <f t="shared" si="41"/>
        <v>8.244897211447727E-2</v>
      </c>
      <c r="T94" s="12">
        <f t="shared" si="41"/>
        <v>-8.0799737073382463E-2</v>
      </c>
    </row>
    <row r="95" spans="1:30" x14ac:dyDescent="0.3">
      <c r="H95" s="12">
        <f t="array" ref="H95:J97">P15*MMULT(I20:I22,E25:G25)</f>
        <v>0</v>
      </c>
      <c r="I95" s="13">
        <v>-0.16666666666666671</v>
      </c>
      <c r="J95" s="14">
        <v>0.16666666666666671</v>
      </c>
      <c r="L95" s="12">
        <f t="shared" ref="L95:N96" si="42">L91</f>
        <v>-6.6339363927955697E-2</v>
      </c>
      <c r="M95" s="12">
        <f t="shared" si="42"/>
        <v>8.3880672265989067E-2</v>
      </c>
      <c r="N95" s="12">
        <f t="shared" si="42"/>
        <v>-1.7541308338033374E-2</v>
      </c>
      <c r="O95" s="16">
        <v>0</v>
      </c>
      <c r="Q95" s="12">
        <f t="shared" ref="Q95:Q97" si="43">L95+L107</f>
        <v>-6.6339363927955697E-2</v>
      </c>
      <c r="R95" s="12">
        <f t="shared" si="41"/>
        <v>8.3880672265989067E-2</v>
      </c>
      <c r="S95" s="12">
        <f t="shared" si="41"/>
        <v>-1.7541308338033374E-2</v>
      </c>
      <c r="T95" s="12">
        <f t="shared" si="41"/>
        <v>0</v>
      </c>
    </row>
    <row r="96" spans="1:30" x14ac:dyDescent="0.3">
      <c r="H96" s="15">
        <v>0</v>
      </c>
      <c r="I96" s="8">
        <v>-0.16666666666666666</v>
      </c>
      <c r="J96" s="16">
        <v>0.16666666666666666</v>
      </c>
      <c r="L96" s="12">
        <f t="shared" si="42"/>
        <v>-6.6339363927955697E-2</v>
      </c>
      <c r="M96" s="12">
        <f t="shared" si="42"/>
        <v>8.3880672265989067E-2</v>
      </c>
      <c r="N96" s="12">
        <f t="shared" si="42"/>
        <v>-1.7541308338033374E-2</v>
      </c>
      <c r="O96" s="16">
        <v>0</v>
      </c>
      <c r="Q96" s="12">
        <f t="shared" si="43"/>
        <v>-8.5529907307083874E-2</v>
      </c>
      <c r="R96" s="12">
        <f t="shared" si="41"/>
        <v>8.3880672265989067E-2</v>
      </c>
      <c r="S96" s="12">
        <f t="shared" si="41"/>
        <v>8.2448972114477256E-2</v>
      </c>
      <c r="T96" s="12">
        <f t="shared" si="41"/>
        <v>-8.0799737073382449E-2</v>
      </c>
    </row>
    <row r="97" spans="8:24" x14ac:dyDescent="0.3">
      <c r="H97" s="17">
        <v>0</v>
      </c>
      <c r="I97" s="18">
        <v>-0.16666666666666666</v>
      </c>
      <c r="J97" s="19">
        <v>0.16666666666666666</v>
      </c>
      <c r="L97" s="17">
        <v>0</v>
      </c>
      <c r="M97" s="18">
        <v>0</v>
      </c>
      <c r="N97" s="18">
        <v>0</v>
      </c>
      <c r="O97" s="19">
        <v>0</v>
      </c>
      <c r="Q97" s="12">
        <f t="shared" si="43"/>
        <v>-1.9190543379128185E-2</v>
      </c>
      <c r="R97" s="12">
        <f t="shared" si="41"/>
        <v>0</v>
      </c>
      <c r="S97" s="12">
        <f t="shared" si="41"/>
        <v>9.9990280452510627E-2</v>
      </c>
      <c r="T97" s="12">
        <f t="shared" si="41"/>
        <v>-8.0799737073382449E-2</v>
      </c>
    </row>
    <row r="99" spans="8:24" x14ac:dyDescent="0.3">
      <c r="J99" t="s">
        <v>41</v>
      </c>
      <c r="K99" t="s">
        <v>42</v>
      </c>
    </row>
    <row r="100" spans="8:24" x14ac:dyDescent="0.3">
      <c r="H100" t="s">
        <v>44</v>
      </c>
      <c r="J100" s="36">
        <f>(C187+C191+C193)/3</f>
        <v>0.59994168271506376</v>
      </c>
      <c r="K100" s="36">
        <f>(C188+C192+C194)/3</f>
        <v>0.11514326027476912</v>
      </c>
    </row>
    <row r="101" spans="8:24" x14ac:dyDescent="0.3">
      <c r="H101" t="s">
        <v>39</v>
      </c>
      <c r="L101" t="s">
        <v>45</v>
      </c>
      <c r="Q101" t="s">
        <v>56</v>
      </c>
      <c r="R101" t="s">
        <v>51</v>
      </c>
    </row>
    <row r="102" spans="8:24" x14ac:dyDescent="0.3">
      <c r="H102" s="12">
        <f t="array" ref="H102:J104">P41*MMULT(I46:I48,E50:G50)</f>
        <v>0</v>
      </c>
      <c r="I102" s="13">
        <v>0.16666666666666671</v>
      </c>
      <c r="J102" s="14">
        <v>-0.16666666666666671</v>
      </c>
      <c r="K102">
        <v>1</v>
      </c>
      <c r="L102" s="12">
        <f>$J$100*H102+$K$100*H107</f>
        <v>-1.9190543379128192E-2</v>
      </c>
      <c r="M102" s="12">
        <f t="shared" ref="M102:N104" si="44">$J$100*I102+$K$100*I107</f>
        <v>9.9990280452510655E-2</v>
      </c>
      <c r="N102" s="12">
        <f t="shared" si="44"/>
        <v>-8.0799737073382463E-2</v>
      </c>
      <c r="Q102" s="12">
        <f>Q94</f>
        <v>-8.5529907307083902E-2</v>
      </c>
      <c r="R102" s="13">
        <f t="shared" ref="R102:T102" si="45">R94</f>
        <v>8.3880672265989095E-2</v>
      </c>
      <c r="S102" s="13">
        <f t="shared" si="45"/>
        <v>8.244897211447727E-2</v>
      </c>
      <c r="T102" s="13">
        <f t="shared" si="45"/>
        <v>-8.0799737073382463E-2</v>
      </c>
      <c r="U102" s="13">
        <v>0</v>
      </c>
      <c r="V102" s="13">
        <v>0</v>
      </c>
      <c r="W102" s="13">
        <v>0</v>
      </c>
      <c r="X102" s="14">
        <v>0</v>
      </c>
    </row>
    <row r="103" spans="8:24" x14ac:dyDescent="0.3">
      <c r="H103" s="15">
        <v>0</v>
      </c>
      <c r="I103" s="8">
        <v>0.16666666666666666</v>
      </c>
      <c r="J103" s="16">
        <v>-0.16666666666666666</v>
      </c>
      <c r="K103">
        <v>3</v>
      </c>
      <c r="L103" s="12">
        <f t="shared" ref="L103:L104" si="46">$J$100*H103+$K$100*H108</f>
        <v>-1.9190543379128185E-2</v>
      </c>
      <c r="M103" s="12">
        <f t="shared" si="44"/>
        <v>9.9990280452510627E-2</v>
      </c>
      <c r="N103" s="12">
        <f t="shared" si="44"/>
        <v>-8.0799737073382449E-2</v>
      </c>
      <c r="Q103" s="15">
        <f t="shared" ref="Q103:T105" si="47">Q95</f>
        <v>-6.6339363927955697E-2</v>
      </c>
      <c r="R103" s="8">
        <f t="shared" si="47"/>
        <v>8.3880672265989067E-2</v>
      </c>
      <c r="S103" s="8">
        <f t="shared" si="47"/>
        <v>-1.7541308338033374E-2</v>
      </c>
      <c r="T103" s="8">
        <f t="shared" si="47"/>
        <v>0</v>
      </c>
      <c r="U103" s="8">
        <v>0</v>
      </c>
      <c r="V103" s="8">
        <v>0</v>
      </c>
      <c r="W103" s="8">
        <v>0</v>
      </c>
      <c r="X103" s="16">
        <v>0</v>
      </c>
    </row>
    <row r="104" spans="8:24" x14ac:dyDescent="0.3">
      <c r="H104" s="17">
        <v>0</v>
      </c>
      <c r="I104" s="18">
        <v>0.16666666666666666</v>
      </c>
      <c r="J104" s="19">
        <v>-0.16666666666666666</v>
      </c>
      <c r="K104">
        <v>4</v>
      </c>
      <c r="L104" s="12">
        <f t="shared" si="46"/>
        <v>-1.9190543379128185E-2</v>
      </c>
      <c r="M104" s="12">
        <f t="shared" si="44"/>
        <v>9.9990280452510627E-2</v>
      </c>
      <c r="N104" s="12">
        <f t="shared" si="44"/>
        <v>-8.0799737073382449E-2</v>
      </c>
      <c r="Q104" s="15">
        <f t="shared" si="47"/>
        <v>-8.5529907307083874E-2</v>
      </c>
      <c r="R104" s="8">
        <f t="shared" si="47"/>
        <v>8.3880672265989067E-2</v>
      </c>
      <c r="S104" s="8">
        <f t="shared" si="47"/>
        <v>8.2448972114477256E-2</v>
      </c>
      <c r="T104" s="8">
        <f t="shared" si="47"/>
        <v>-8.0799737073382449E-2</v>
      </c>
      <c r="U104" s="8">
        <v>0</v>
      </c>
      <c r="V104" s="8">
        <v>0</v>
      </c>
      <c r="W104" s="8">
        <v>0</v>
      </c>
      <c r="X104" s="16">
        <v>0</v>
      </c>
    </row>
    <row r="105" spans="8:24" x14ac:dyDescent="0.3">
      <c r="Q105" s="15">
        <f t="shared" si="47"/>
        <v>-1.9190543379128185E-2</v>
      </c>
      <c r="R105" s="8">
        <f t="shared" si="47"/>
        <v>0</v>
      </c>
      <c r="S105" s="8">
        <f t="shared" si="47"/>
        <v>9.9990280452510627E-2</v>
      </c>
      <c r="T105" s="8">
        <f t="shared" si="47"/>
        <v>-8.0799737073382449E-2</v>
      </c>
      <c r="U105" s="8">
        <v>0</v>
      </c>
      <c r="V105" s="8">
        <v>0</v>
      </c>
      <c r="W105" s="8">
        <v>0</v>
      </c>
      <c r="X105" s="16">
        <v>0</v>
      </c>
    </row>
    <row r="106" spans="8:24" x14ac:dyDescent="0.3">
      <c r="H106" t="s">
        <v>40</v>
      </c>
      <c r="L106" s="12">
        <f>L102</f>
        <v>-1.9190543379128192E-2</v>
      </c>
      <c r="M106" s="12">
        <v>0</v>
      </c>
      <c r="N106" s="12">
        <f>M102</f>
        <v>9.9990280452510655E-2</v>
      </c>
      <c r="O106" s="12">
        <f>N102</f>
        <v>-8.0799737073382463E-2</v>
      </c>
      <c r="Q106" s="15">
        <v>0</v>
      </c>
      <c r="R106" s="8">
        <v>0</v>
      </c>
      <c r="S106" s="8">
        <v>0</v>
      </c>
      <c r="T106" s="8">
        <v>0</v>
      </c>
      <c r="U106" s="8">
        <f>Q94</f>
        <v>-8.5529907307083902E-2</v>
      </c>
      <c r="V106" s="8">
        <f t="shared" ref="V106:X109" si="48">R94</f>
        <v>8.3880672265989095E-2</v>
      </c>
      <c r="W106" s="8">
        <f t="shared" si="48"/>
        <v>8.244897211447727E-2</v>
      </c>
      <c r="X106" s="16">
        <f t="shared" si="48"/>
        <v>-8.0799737073382463E-2</v>
      </c>
    </row>
    <row r="107" spans="8:24" x14ac:dyDescent="0.3">
      <c r="H107" s="12">
        <f t="array" ref="H107:J109">P41*MMULT(I46:I48,E51:G51)</f>
        <v>-0.16666666666666671</v>
      </c>
      <c r="I107" s="13">
        <v>0</v>
      </c>
      <c r="J107" s="14">
        <v>0.16666666666666671</v>
      </c>
      <c r="L107" s="12">
        <v>0</v>
      </c>
      <c r="M107" s="12">
        <v>0</v>
      </c>
      <c r="N107" s="12">
        <v>0</v>
      </c>
      <c r="O107" s="16">
        <v>0</v>
      </c>
      <c r="Q107" s="15">
        <v>0</v>
      </c>
      <c r="R107" s="8">
        <v>0</v>
      </c>
      <c r="S107" s="8">
        <v>0</v>
      </c>
      <c r="T107" s="8">
        <v>0</v>
      </c>
      <c r="U107" s="8">
        <f t="shared" ref="U107:U109" si="49">Q95</f>
        <v>-6.6339363927955697E-2</v>
      </c>
      <c r="V107" s="8">
        <f t="shared" si="48"/>
        <v>8.3880672265989067E-2</v>
      </c>
      <c r="W107" s="8">
        <f t="shared" si="48"/>
        <v>-1.7541308338033374E-2</v>
      </c>
      <c r="X107" s="16">
        <f t="shared" si="48"/>
        <v>0</v>
      </c>
    </row>
    <row r="108" spans="8:24" x14ac:dyDescent="0.3">
      <c r="H108" s="15">
        <v>-0.16666666666666666</v>
      </c>
      <c r="I108" s="8">
        <v>0</v>
      </c>
      <c r="J108" s="16">
        <v>0.16666666666666666</v>
      </c>
      <c r="L108" s="12">
        <f>L103</f>
        <v>-1.9190543379128185E-2</v>
      </c>
      <c r="M108" s="12">
        <v>0</v>
      </c>
      <c r="N108" s="12">
        <f>M103</f>
        <v>9.9990280452510627E-2</v>
      </c>
      <c r="O108" s="12">
        <f>N103</f>
        <v>-8.0799737073382449E-2</v>
      </c>
      <c r="Q108" s="15">
        <v>0</v>
      </c>
      <c r="R108" s="8">
        <v>0</v>
      </c>
      <c r="S108" s="8">
        <v>0</v>
      </c>
      <c r="T108" s="8">
        <v>0</v>
      </c>
      <c r="U108" s="8">
        <f t="shared" si="49"/>
        <v>-8.5529907307083874E-2</v>
      </c>
      <c r="V108" s="8">
        <f t="shared" si="48"/>
        <v>8.3880672265989067E-2</v>
      </c>
      <c r="W108" s="8">
        <f t="shared" si="48"/>
        <v>8.2448972114477256E-2</v>
      </c>
      <c r="X108" s="16">
        <f t="shared" si="48"/>
        <v>-8.0799737073382449E-2</v>
      </c>
    </row>
    <row r="109" spans="8:24" x14ac:dyDescent="0.3">
      <c r="H109" s="17">
        <v>-0.16666666666666666</v>
      </c>
      <c r="I109" s="18">
        <v>0</v>
      </c>
      <c r="J109" s="19">
        <v>0.16666666666666666</v>
      </c>
      <c r="L109" s="12">
        <f>L104</f>
        <v>-1.9190543379128185E-2</v>
      </c>
      <c r="M109" s="18">
        <v>0</v>
      </c>
      <c r="N109" s="12">
        <f>M104</f>
        <v>9.9990280452510627E-2</v>
      </c>
      <c r="O109" s="12">
        <f>N104</f>
        <v>-8.0799737073382449E-2</v>
      </c>
      <c r="Q109" s="17">
        <v>0</v>
      </c>
      <c r="R109" s="18">
        <v>0</v>
      </c>
      <c r="S109" s="18">
        <v>0</v>
      </c>
      <c r="T109" s="18">
        <v>0</v>
      </c>
      <c r="U109" s="18">
        <f t="shared" si="49"/>
        <v>-1.9190543379128185E-2</v>
      </c>
      <c r="V109" s="18">
        <v>0</v>
      </c>
      <c r="W109" s="18">
        <f t="shared" si="48"/>
        <v>9.9990280452510627E-2</v>
      </c>
      <c r="X109" s="19">
        <f t="shared" si="48"/>
        <v>-8.0799737073382449E-2</v>
      </c>
    </row>
    <row r="113" spans="11:21" x14ac:dyDescent="0.3">
      <c r="K113" t="s">
        <v>50</v>
      </c>
    </row>
    <row r="114" spans="11:21" x14ac:dyDescent="0.3">
      <c r="K114" s="26">
        <v>1</v>
      </c>
      <c r="L114" s="26"/>
      <c r="M114" s="26">
        <v>2</v>
      </c>
      <c r="N114" s="26"/>
      <c r="O114" s="26">
        <v>3</v>
      </c>
    </row>
    <row r="115" spans="11:21" x14ac:dyDescent="0.3">
      <c r="K115">
        <f>O24</f>
        <v>-1</v>
      </c>
      <c r="L115">
        <f>P24</f>
        <v>0</v>
      </c>
      <c r="M115">
        <f>O25</f>
        <v>1</v>
      </c>
      <c r="N115">
        <f>P25</f>
        <v>-1</v>
      </c>
      <c r="O115">
        <f>O26</f>
        <v>0</v>
      </c>
      <c r="P115">
        <f>P26</f>
        <v>1</v>
      </c>
    </row>
    <row r="116" spans="11:21" x14ac:dyDescent="0.3">
      <c r="K116" t="s">
        <v>46</v>
      </c>
    </row>
    <row r="117" spans="11:21" x14ac:dyDescent="0.3">
      <c r="K117" s="21">
        <f t="array" ref="K117">K115*$P$15</f>
        <v>-0.5</v>
      </c>
      <c r="L117" s="24">
        <f t="shared" ref="L117:P117" si="50">L115*$P$15</f>
        <v>0</v>
      </c>
      <c r="M117" s="24">
        <f t="shared" si="50"/>
        <v>0.5</v>
      </c>
      <c r="N117" s="24">
        <f t="shared" si="50"/>
        <v>-0.5</v>
      </c>
      <c r="O117" s="24">
        <f t="shared" si="50"/>
        <v>0</v>
      </c>
      <c r="P117" s="25">
        <f t="shared" si="50"/>
        <v>0.5</v>
      </c>
    </row>
    <row r="119" spans="11:21" x14ac:dyDescent="0.3">
      <c r="K119" s="26">
        <v>1</v>
      </c>
      <c r="L119" s="26"/>
      <c r="M119" s="26">
        <v>3</v>
      </c>
      <c r="N119" s="26"/>
      <c r="O119" s="26">
        <v>4</v>
      </c>
    </row>
    <row r="120" spans="11:21" x14ac:dyDescent="0.3">
      <c r="K120">
        <f>O50</f>
        <v>0</v>
      </c>
      <c r="L120">
        <f>P50</f>
        <v>-1</v>
      </c>
      <c r="M120">
        <f>O51</f>
        <v>1</v>
      </c>
      <c r="N120">
        <f>P51</f>
        <v>0</v>
      </c>
      <c r="O120">
        <f>O52</f>
        <v>-1</v>
      </c>
      <c r="P120">
        <f>P52</f>
        <v>1</v>
      </c>
    </row>
    <row r="121" spans="11:21" x14ac:dyDescent="0.3">
      <c r="K121" t="s">
        <v>47</v>
      </c>
    </row>
    <row r="122" spans="11:21" x14ac:dyDescent="0.3">
      <c r="K122" s="21">
        <f>K120*$P$41</f>
        <v>0</v>
      </c>
      <c r="L122" s="24">
        <f t="shared" ref="L122:P122" si="51">L120*$P$41</f>
        <v>-0.5</v>
      </c>
      <c r="M122" s="24">
        <f t="shared" si="51"/>
        <v>0.5</v>
      </c>
      <c r="N122" s="24">
        <f t="shared" si="51"/>
        <v>0</v>
      </c>
      <c r="O122" s="24">
        <f t="shared" si="51"/>
        <v>-0.5</v>
      </c>
      <c r="P122" s="25">
        <f t="shared" si="51"/>
        <v>0.5</v>
      </c>
    </row>
    <row r="124" spans="11:21" x14ac:dyDescent="0.3">
      <c r="K124" t="s">
        <v>48</v>
      </c>
      <c r="L124" t="s">
        <v>49</v>
      </c>
      <c r="T124" t="s">
        <v>23</v>
      </c>
    </row>
    <row r="125" spans="11:21" x14ac:dyDescent="0.3">
      <c r="K125" s="12">
        <f>K117</f>
        <v>-0.5</v>
      </c>
      <c r="L125" s="12">
        <f t="shared" ref="L125:P125" si="52">L117</f>
        <v>0</v>
      </c>
      <c r="M125" s="12">
        <f t="shared" si="52"/>
        <v>0.5</v>
      </c>
      <c r="N125" s="12">
        <f t="shared" si="52"/>
        <v>-0.5</v>
      </c>
      <c r="O125" s="12">
        <f t="shared" si="52"/>
        <v>0</v>
      </c>
      <c r="P125" s="12">
        <f t="shared" si="52"/>
        <v>0.5</v>
      </c>
      <c r="Q125" s="27">
        <v>0</v>
      </c>
      <c r="R125" s="28">
        <v>0</v>
      </c>
      <c r="T125" s="12">
        <f t="array" ref="T125:U132">TRANSPOSE(K125:R126)</f>
        <v>-0.5</v>
      </c>
      <c r="U125" s="14">
        <v>0</v>
      </c>
    </row>
    <row r="126" spans="11:21" x14ac:dyDescent="0.3">
      <c r="K126" s="17">
        <f>K122</f>
        <v>0</v>
      </c>
      <c r="L126" s="17">
        <f>L122</f>
        <v>-0.5</v>
      </c>
      <c r="M126" s="29">
        <v>0</v>
      </c>
      <c r="N126" s="29">
        <v>0</v>
      </c>
      <c r="O126" s="18">
        <f>M122</f>
        <v>0.5</v>
      </c>
      <c r="P126" s="18">
        <f t="shared" ref="P126:R126" si="53">N122</f>
        <v>0</v>
      </c>
      <c r="Q126" s="18">
        <f t="shared" si="53"/>
        <v>-0.5</v>
      </c>
      <c r="R126" s="18">
        <f t="shared" si="53"/>
        <v>0.5</v>
      </c>
      <c r="T126" s="15">
        <v>0</v>
      </c>
      <c r="U126" s="16">
        <v>-0.5</v>
      </c>
    </row>
    <row r="127" spans="11:21" x14ac:dyDescent="0.3">
      <c r="T127" s="15">
        <v>0.5</v>
      </c>
      <c r="U127" s="16">
        <v>0</v>
      </c>
    </row>
    <row r="128" spans="11:21" x14ac:dyDescent="0.3">
      <c r="T128" s="15">
        <v>-0.5</v>
      </c>
      <c r="U128" s="16">
        <v>0</v>
      </c>
    </row>
    <row r="129" spans="20:21" x14ac:dyDescent="0.3">
      <c r="T129" s="15">
        <v>0</v>
      </c>
      <c r="U129" s="16">
        <v>0.5</v>
      </c>
    </row>
    <row r="130" spans="20:21" x14ac:dyDescent="0.3">
      <c r="T130" s="15">
        <v>0.5</v>
      </c>
      <c r="U130" s="16">
        <v>0</v>
      </c>
    </row>
    <row r="131" spans="20:21" x14ac:dyDescent="0.3">
      <c r="T131" s="15">
        <v>0</v>
      </c>
      <c r="U131" s="16">
        <v>-0.5</v>
      </c>
    </row>
    <row r="132" spans="20:21" x14ac:dyDescent="0.3">
      <c r="T132" s="17">
        <v>0</v>
      </c>
      <c r="U132" s="19">
        <v>0.5</v>
      </c>
    </row>
    <row r="167" spans="11:18" x14ac:dyDescent="0.3">
      <c r="K167" t="s">
        <v>58</v>
      </c>
      <c r="L167" t="s">
        <v>59</v>
      </c>
    </row>
    <row r="168" spans="11:18" x14ac:dyDescent="0.3">
      <c r="K168" t="s">
        <v>61</v>
      </c>
      <c r="N168" t="s">
        <v>58</v>
      </c>
      <c r="Q168" t="s">
        <v>28</v>
      </c>
    </row>
    <row r="169" spans="11:18" x14ac:dyDescent="0.3">
      <c r="K169" s="12">
        <f t="array" ref="K169:L176">MMULT(AL73:AS80,T125:U132)</f>
        <v>-1.4999999999999993</v>
      </c>
      <c r="L169" s="14">
        <v>0</v>
      </c>
      <c r="N169" s="30">
        <f t="array" ref="N169:O170">MMULT(K125:R126,K169:L176)</f>
        <v>4.4999999999999991</v>
      </c>
      <c r="O169" s="31">
        <v>0</v>
      </c>
      <c r="Q169">
        <f t="array" ref="Q169:R170">MINVERSE(N169:O170)</f>
        <v>0.22222222222222227</v>
      </c>
      <c r="R169">
        <v>0</v>
      </c>
    </row>
    <row r="170" spans="11:18" x14ac:dyDescent="0.3">
      <c r="K170" s="15">
        <v>0</v>
      </c>
      <c r="L170" s="16">
        <v>-2.9999999999999996</v>
      </c>
      <c r="N170" s="32">
        <v>0</v>
      </c>
      <c r="O170" s="33">
        <v>4.4999999999999991</v>
      </c>
      <c r="Q170">
        <v>0</v>
      </c>
      <c r="R170">
        <v>0.22222222222222227</v>
      </c>
    </row>
    <row r="171" spans="11:18" x14ac:dyDescent="0.3">
      <c r="K171" s="15">
        <v>1.4999999999999998</v>
      </c>
      <c r="L171" s="16">
        <v>0</v>
      </c>
    </row>
    <row r="172" spans="11:18" x14ac:dyDescent="0.3">
      <c r="K172" s="15">
        <v>-2.9999999999999996</v>
      </c>
      <c r="L172" s="16">
        <v>0</v>
      </c>
    </row>
    <row r="173" spans="11:18" x14ac:dyDescent="0.3">
      <c r="K173" s="15">
        <v>0</v>
      </c>
      <c r="L173" s="16">
        <v>1.4999999999999993</v>
      </c>
    </row>
    <row r="174" spans="11:18" x14ac:dyDescent="0.3">
      <c r="K174" s="15">
        <v>2.9999999999999996</v>
      </c>
      <c r="L174" s="16">
        <v>0</v>
      </c>
    </row>
    <row r="175" spans="11:18" x14ac:dyDescent="0.3">
      <c r="K175" s="15">
        <v>0</v>
      </c>
      <c r="L175" s="16">
        <v>-1.4999999999999998</v>
      </c>
    </row>
    <row r="176" spans="11:18" x14ac:dyDescent="0.3">
      <c r="K176" s="17">
        <v>0</v>
      </c>
      <c r="L176" s="19">
        <v>2.9999999999999996</v>
      </c>
    </row>
    <row r="187" spans="1:7" x14ac:dyDescent="0.3">
      <c r="A187" t="s">
        <v>62</v>
      </c>
      <c r="B187" t="s">
        <v>77</v>
      </c>
      <c r="C187" s="20">
        <f>'4 шаг '!N238</f>
        <v>0.85112428043042609</v>
      </c>
      <c r="D187" t="s">
        <v>1</v>
      </c>
      <c r="E187" s="11">
        <f>S3</f>
        <v>0.03</v>
      </c>
      <c r="F187" t="s">
        <v>63</v>
      </c>
      <c r="G187" s="20">
        <f>'для 2 треугольников'!G187</f>
        <v>0</v>
      </c>
    </row>
    <row r="188" spans="1:7" x14ac:dyDescent="0.3">
      <c r="B188" t="s">
        <v>78</v>
      </c>
      <c r="C188" s="20">
        <f>'4 шаг '!N239</f>
        <v>-0.30631326094799122</v>
      </c>
      <c r="G188" s="20">
        <f>'для 2 треугольников'!G188</f>
        <v>0</v>
      </c>
    </row>
    <row r="189" spans="1:7" x14ac:dyDescent="0.3">
      <c r="B189" t="s">
        <v>79</v>
      </c>
      <c r="C189" s="20">
        <f>'4 шаг '!N240</f>
        <v>0.18298471993611257</v>
      </c>
      <c r="G189" s="20">
        <f>'для 2 треугольников'!G189</f>
        <v>0</v>
      </c>
    </row>
    <row r="190" spans="1:7" x14ac:dyDescent="0.3">
      <c r="B190" t="s">
        <v>80</v>
      </c>
      <c r="C190" s="20">
        <f>'4 шаг '!N241</f>
        <v>-0.33878492481546152</v>
      </c>
      <c r="G190" s="20">
        <f>'для 2 треугольников'!G190</f>
        <v>0</v>
      </c>
    </row>
    <row r="191" spans="1:7" x14ac:dyDescent="0.3">
      <c r="B191" t="s">
        <v>81</v>
      </c>
      <c r="C191" s="20">
        <f>'4 шаг '!N242</f>
        <v>0.15999955033666372</v>
      </c>
      <c r="G191" s="20">
        <f>'для 2 треугольников'!G191</f>
        <v>0</v>
      </c>
    </row>
    <row r="192" spans="1:7" x14ac:dyDescent="0.3">
      <c r="B192" t="s">
        <v>82</v>
      </c>
      <c r="C192" s="20">
        <f>'4 шаг '!N243</f>
        <v>0.32935463567885204</v>
      </c>
      <c r="G192" s="20">
        <f>'для 2 треугольников'!G192</f>
        <v>0</v>
      </c>
    </row>
    <row r="193" spans="2:15" x14ac:dyDescent="0.3">
      <c r="B193" t="s">
        <v>83</v>
      </c>
      <c r="C193" s="20">
        <f>'4 шаг '!N244</f>
        <v>0.78870121737810139</v>
      </c>
      <c r="G193" s="20">
        <f>'для 2 треугольников'!G193</f>
        <v>0</v>
      </c>
    </row>
    <row r="194" spans="2:15" x14ac:dyDescent="0.3">
      <c r="B194" t="s">
        <v>84</v>
      </c>
      <c r="C194" s="20">
        <f>'4 шаг '!N245</f>
        <v>0.32238840609344654</v>
      </c>
      <c r="G194" s="20">
        <f>'для 2 треугольников'!G194</f>
        <v>0</v>
      </c>
    </row>
    <row r="195" spans="2:15" x14ac:dyDescent="0.3">
      <c r="C195" t="s">
        <v>64</v>
      </c>
    </row>
    <row r="196" spans="2:15" x14ac:dyDescent="0.3">
      <c r="I196" t="s">
        <v>65</v>
      </c>
      <c r="K196" t="s">
        <v>66</v>
      </c>
      <c r="M196" t="s">
        <v>67</v>
      </c>
      <c r="O196" t="s">
        <v>68</v>
      </c>
    </row>
    <row r="197" spans="2:15" x14ac:dyDescent="0.3">
      <c r="I197" s="20">
        <f t="array" ref="I197:I204">MMULT(Q102:X109,C187:C194)</f>
        <v>-5.6029708143424763E-2</v>
      </c>
      <c r="K197" s="20">
        <f>I197*(-1)</f>
        <v>5.6029708143424763E-2</v>
      </c>
      <c r="M197" s="20">
        <f t="array" ref="M197:M204">(-1)*$S$4*MMULT(W77:AD84,C187:C194)</f>
        <v>-1.2970218442814312E-2</v>
      </c>
      <c r="O197" s="20">
        <f>K197+M197+G187</f>
        <v>4.3059489700610451E-2</v>
      </c>
    </row>
    <row r="198" spans="2:15" x14ac:dyDescent="0.3">
      <c r="I198" s="34">
        <v>-8.5366597033246325E-2</v>
      </c>
      <c r="K198" s="34">
        <f t="shared" ref="K198:K204" si="54">I198*(-1)</f>
        <v>8.5366597033246325E-2</v>
      </c>
      <c r="M198" s="34">
        <v>9.1256465618490649E-3</v>
      </c>
      <c r="O198" s="34">
        <f t="shared" ref="O198:O204" si="55">K198+M198+G188</f>
        <v>9.4492243595095393E-2</v>
      </c>
    </row>
    <row r="199" spans="2:15" x14ac:dyDescent="0.3">
      <c r="I199" s="34">
        <v>-5.6029708143424742E-2</v>
      </c>
      <c r="K199" s="34">
        <f t="shared" si="54"/>
        <v>5.6029708143424742E-2</v>
      </c>
      <c r="M199" s="34">
        <v>-5.5863393671245409E-3</v>
      </c>
      <c r="O199" s="34">
        <f t="shared" si="55"/>
        <v>5.04433687763002E-2</v>
      </c>
    </row>
    <row r="200" spans="2:15" x14ac:dyDescent="0.3">
      <c r="I200" s="34">
        <v>2.9336888889821586E-2</v>
      </c>
      <c r="K200" s="34">
        <f t="shared" si="54"/>
        <v>-2.9336888889821586E-2</v>
      </c>
      <c r="M200" s="34">
        <v>9.4309112480897885E-3</v>
      </c>
      <c r="O200" s="34">
        <f t="shared" si="55"/>
        <v>-1.9905977641731798E-2</v>
      </c>
    </row>
    <row r="201" spans="2:15" x14ac:dyDescent="0.3">
      <c r="I201" s="34">
        <v>5.2920447775596083E-2</v>
      </c>
      <c r="K201" s="34">
        <f t="shared" si="54"/>
        <v>-5.2920447775596083E-2</v>
      </c>
      <c r="M201" s="34">
        <v>1.8332290422115047E-3</v>
      </c>
      <c r="O201" s="34">
        <f t="shared" si="55"/>
        <v>-5.1087218733384579E-2</v>
      </c>
    </row>
    <row r="202" spans="2:15" x14ac:dyDescent="0.3">
      <c r="I202" s="34">
        <v>3.1773686159572555E-3</v>
      </c>
      <c r="K202" s="34">
        <f t="shared" si="54"/>
        <v>-3.1773686159572555E-3</v>
      </c>
      <c r="M202" s="34">
        <v>1.6070339565277189E-3</v>
      </c>
      <c r="O202" s="34">
        <f t="shared" si="55"/>
        <v>-1.5703346594295366E-3</v>
      </c>
    </row>
    <row r="203" spans="2:15" x14ac:dyDescent="0.3">
      <c r="I203" s="34">
        <v>5.292044777559609E-2</v>
      </c>
      <c r="K203" s="34">
        <f t="shared" si="54"/>
        <v>-5.292044777559609E-2</v>
      </c>
      <c r="M203" s="34">
        <v>-5.1148060070588036E-3</v>
      </c>
      <c r="O203" s="34">
        <f t="shared" si="55"/>
        <v>-5.8035253782654894E-2</v>
      </c>
    </row>
    <row r="204" spans="2:15" x14ac:dyDescent="0.3">
      <c r="I204" s="35">
        <v>4.9743079159638832E-2</v>
      </c>
      <c r="K204" s="35">
        <f t="shared" si="54"/>
        <v>-4.9743079159638832E-2</v>
      </c>
      <c r="M204" s="35">
        <v>1.6745430083195797E-3</v>
      </c>
      <c r="O204" s="35">
        <f t="shared" si="55"/>
        <v>-4.8068536151319251E-2</v>
      </c>
    </row>
    <row r="207" spans="2:15" x14ac:dyDescent="0.3">
      <c r="I207" t="s">
        <v>69</v>
      </c>
      <c r="K207" t="s">
        <v>70</v>
      </c>
      <c r="M207" t="s">
        <v>71</v>
      </c>
    </row>
    <row r="208" spans="2:15" x14ac:dyDescent="0.3">
      <c r="I208">
        <f t="array" ref="I208:I215">MMULT(AL73:AS80,O197:O204)</f>
        <v>0.12917846910183128</v>
      </c>
      <c r="K208">
        <f t="array" ref="K208">$E$187*I208</f>
        <v>3.8753540730549385E-3</v>
      </c>
      <c r="M208" s="20">
        <f>C187+K208</f>
        <v>0.85499963450348104</v>
      </c>
    </row>
    <row r="209" spans="8:13" x14ac:dyDescent="0.3">
      <c r="I209">
        <v>0.56695346157057225</v>
      </c>
      <c r="K209">
        <f t="shared" ref="K209:K215" si="56">$E$187*I209</f>
        <v>1.7008603847117165E-2</v>
      </c>
      <c r="M209" s="34">
        <f t="shared" ref="M209:M215" si="57">C188+K209</f>
        <v>-0.28930465710087405</v>
      </c>
    </row>
    <row r="210" spans="8:13" x14ac:dyDescent="0.3">
      <c r="I210">
        <v>0.15133010632890057</v>
      </c>
      <c r="K210">
        <f t="shared" si="56"/>
        <v>4.5399031898670167E-3</v>
      </c>
      <c r="M210" s="34">
        <f t="shared" si="57"/>
        <v>0.18752462312597959</v>
      </c>
    </row>
    <row r="211" spans="8:13" x14ac:dyDescent="0.3">
      <c r="I211">
        <v>-0.11943586585039077</v>
      </c>
      <c r="K211">
        <f t="shared" si="56"/>
        <v>-3.5830759755117233E-3</v>
      </c>
      <c r="M211" s="34">
        <f t="shared" si="57"/>
        <v>-0.34236800079097324</v>
      </c>
    </row>
    <row r="212" spans="8:13" x14ac:dyDescent="0.3">
      <c r="I212">
        <v>-0.15326165620015367</v>
      </c>
      <c r="K212">
        <f t="shared" si="56"/>
        <v>-4.5978496860046101E-3</v>
      </c>
      <c r="M212" s="34">
        <f t="shared" si="57"/>
        <v>0.15540170065065911</v>
      </c>
    </row>
    <row r="213" spans="8:13" x14ac:dyDescent="0.3">
      <c r="I213">
        <v>-9.4220079565772181E-3</v>
      </c>
      <c r="K213">
        <f t="shared" si="56"/>
        <v>-2.8266023869731653E-4</v>
      </c>
      <c r="M213" s="34">
        <f t="shared" si="57"/>
        <v>0.32907197544015471</v>
      </c>
    </row>
    <row r="214" spans="8:13" x14ac:dyDescent="0.3">
      <c r="I214">
        <v>-0.17410576134796465</v>
      </c>
      <c r="K214">
        <f t="shared" si="56"/>
        <v>-5.2231728404389397E-3</v>
      </c>
      <c r="M214" s="34">
        <f t="shared" si="57"/>
        <v>0.78347804453766245</v>
      </c>
    </row>
    <row r="215" spans="8:13" x14ac:dyDescent="0.3">
      <c r="I215">
        <v>-0.28841121690791544</v>
      </c>
      <c r="K215">
        <f t="shared" si="56"/>
        <v>-8.6523365072374622E-3</v>
      </c>
      <c r="M215" s="35">
        <f t="shared" si="57"/>
        <v>0.31373606958620909</v>
      </c>
    </row>
    <row r="218" spans="8:13" x14ac:dyDescent="0.3">
      <c r="I218" t="s">
        <v>72</v>
      </c>
    </row>
    <row r="219" spans="8:13" x14ac:dyDescent="0.3">
      <c r="I219">
        <f t="array" ref="I219:I220">MMULT(K125:R126,M208:M215)</f>
        <v>1.982482426813259E-3</v>
      </c>
    </row>
    <row r="220" spans="8:13" x14ac:dyDescent="0.3">
      <c r="I220">
        <v>-1.2517808599960101E-2</v>
      </c>
    </row>
    <row r="224" spans="8:13" x14ac:dyDescent="0.3">
      <c r="H224" t="s">
        <v>73</v>
      </c>
    </row>
    <row r="225" spans="8:18" x14ac:dyDescent="0.3">
      <c r="H225">
        <f t="array" ref="H225:H226">MMULT(Q169:R170,I219:I220)/$E$187</f>
        <v>1.4685055013431552E-2</v>
      </c>
      <c r="J225" s="40" t="s">
        <v>111</v>
      </c>
      <c r="M225">
        <f>H225+(7.5-($H$225+$H$226)/2)</f>
        <v>7.5537047815806417</v>
      </c>
    </row>
    <row r="226" spans="8:18" x14ac:dyDescent="0.3">
      <c r="H226">
        <v>-9.2724508147852616E-2</v>
      </c>
      <c r="J226" s="40" t="s">
        <v>112</v>
      </c>
      <c r="M226">
        <f>H226+(7.5-($H$225+$H$226)/2)</f>
        <v>7.4462952184193583</v>
      </c>
    </row>
    <row r="237" spans="8:18" x14ac:dyDescent="0.3">
      <c r="J237" t="s">
        <v>74</v>
      </c>
      <c r="L237" t="s">
        <v>75</v>
      </c>
      <c r="N237" t="s">
        <v>76</v>
      </c>
      <c r="P237" s="38" t="s">
        <v>113</v>
      </c>
    </row>
    <row r="238" spans="8:18" x14ac:dyDescent="0.3">
      <c r="J238" s="20">
        <f t="array" ref="J238:J245">MMULT(T125:U132,H225:H226)</f>
        <v>-7.3425275067157758E-3</v>
      </c>
      <c r="L238" s="20">
        <f t="array" ref="L238:L245">MMULT(AL73:AS80,J238:J245)</f>
        <v>-2.2027582520147318E-2</v>
      </c>
      <c r="N238" s="2">
        <f t="array" ref="N238">M208-$E$187*L238</f>
        <v>0.85566046197908541</v>
      </c>
      <c r="P238">
        <f>N238-'4 шаг '!N238</f>
        <v>4.5361815486593127E-3</v>
      </c>
      <c r="Q238">
        <f>ABS(P238)</f>
        <v>4.5361815486593127E-3</v>
      </c>
      <c r="R238">
        <f>MAX(Q238:Q245)</f>
        <v>9.3957757070922687E-3</v>
      </c>
    </row>
    <row r="239" spans="8:18" x14ac:dyDescent="0.3">
      <c r="J239" s="34">
        <v>4.6362254073926308E-2</v>
      </c>
      <c r="L239" s="34">
        <v>0.27817352444355781</v>
      </c>
      <c r="N239" s="2">
        <f t="shared" ref="N239:N245" si="58">M209-$E$187*L239</f>
        <v>-0.29764986283418077</v>
      </c>
      <c r="P239">
        <f>N239-'4 шаг '!N239</f>
        <v>8.6633981138104499E-3</v>
      </c>
      <c r="Q239">
        <f t="shared" ref="Q239:Q245" si="59">ABS(P239)</f>
        <v>8.6633981138104499E-3</v>
      </c>
    </row>
    <row r="240" spans="8:18" x14ac:dyDescent="0.3">
      <c r="J240" s="34">
        <v>7.3425275067157758E-3</v>
      </c>
      <c r="L240" s="34">
        <v>2.2027582520147325E-2</v>
      </c>
      <c r="N240" s="2">
        <f t="shared" si="58"/>
        <v>0.18686379565037517</v>
      </c>
      <c r="P240">
        <f>N240-'4 шаг '!N240</f>
        <v>3.8790757142626031E-3</v>
      </c>
      <c r="Q240">
        <f t="shared" si="59"/>
        <v>3.8790757142626031E-3</v>
      </c>
    </row>
    <row r="241" spans="2:17" x14ac:dyDescent="0.3">
      <c r="J241" s="34">
        <v>-7.3425275067157758E-3</v>
      </c>
      <c r="L241" s="34">
        <v>-4.405516504029465E-2</v>
      </c>
      <c r="N241" s="2">
        <f t="shared" si="58"/>
        <v>-0.3410463458397644</v>
      </c>
      <c r="P241">
        <f>N241-'4 шаг '!N241</f>
        <v>-2.2614210243028787E-3</v>
      </c>
      <c r="Q241">
        <f t="shared" si="59"/>
        <v>2.2614210243028787E-3</v>
      </c>
    </row>
    <row r="242" spans="2:17" x14ac:dyDescent="0.3">
      <c r="J242" s="34">
        <v>-4.6362254073926308E-2</v>
      </c>
      <c r="L242" s="34">
        <v>-0.13908676222177888</v>
      </c>
      <c r="N242" s="2">
        <f t="shared" si="58"/>
        <v>0.15957430351731247</v>
      </c>
      <c r="P242">
        <f>N242-'4 шаг '!N242</f>
        <v>-4.2524681935124375E-4</v>
      </c>
      <c r="Q242">
        <f t="shared" si="59"/>
        <v>4.2524681935124375E-4</v>
      </c>
    </row>
    <row r="243" spans="2:17" x14ac:dyDescent="0.3">
      <c r="J243" s="34">
        <v>7.3425275067157758E-3</v>
      </c>
      <c r="L243" s="34">
        <v>4.405516504029465E-2</v>
      </c>
      <c r="N243" s="2">
        <f t="shared" si="58"/>
        <v>0.32775032048894587</v>
      </c>
      <c r="P243">
        <f>N243-'4 шаг '!N243</f>
        <v>-1.6043151899061692E-3</v>
      </c>
      <c r="Q243">
        <f t="shared" si="59"/>
        <v>1.6043151899061692E-3</v>
      </c>
    </row>
    <row r="244" spans="2:17" x14ac:dyDescent="0.3">
      <c r="J244" s="34">
        <v>4.6362254073926308E-2</v>
      </c>
      <c r="L244" s="34">
        <v>0.1390867622217789</v>
      </c>
      <c r="N244" s="2">
        <f t="shared" si="58"/>
        <v>0.77930544167100912</v>
      </c>
      <c r="P244">
        <f>N244-'4 шаг '!N244</f>
        <v>-9.3957757070922687E-3</v>
      </c>
      <c r="Q244">
        <f t="shared" si="59"/>
        <v>9.3957757070922687E-3</v>
      </c>
    </row>
    <row r="245" spans="2:17" x14ac:dyDescent="0.3">
      <c r="J245" s="35">
        <v>-4.6362254073926308E-2</v>
      </c>
      <c r="L245" s="35">
        <v>-0.27817352444355781</v>
      </c>
      <c r="N245" s="2">
        <f t="shared" si="58"/>
        <v>0.3220812753195158</v>
      </c>
      <c r="P245">
        <f>N245-'4 шаг '!N245</f>
        <v>-3.0713077393074162E-4</v>
      </c>
      <c r="Q245">
        <f t="shared" si="59"/>
        <v>3.0713077393074162E-4</v>
      </c>
    </row>
    <row r="248" spans="2:17" x14ac:dyDescent="0.3">
      <c r="B248" t="s">
        <v>110</v>
      </c>
    </row>
    <row r="272" spans="8:10" x14ac:dyDescent="0.3">
      <c r="H272" t="s">
        <v>95</v>
      </c>
      <c r="J272" t="s">
        <v>96</v>
      </c>
    </row>
    <row r="273" spans="7:10" x14ac:dyDescent="0.3">
      <c r="G273" t="s">
        <v>97</v>
      </c>
      <c r="H273" s="20">
        <f>E24*C187+F24*C189+G24*C191</f>
        <v>-0.66813956049431356</v>
      </c>
      <c r="J273" s="20">
        <f>E50*C187+F50*C191+G50*C193</f>
        <v>-0.62870166704143771</v>
      </c>
    </row>
    <row r="274" spans="7:10" x14ac:dyDescent="0.3">
      <c r="G274" t="s">
        <v>98</v>
      </c>
      <c r="H274" s="34">
        <f>E25*C187+F25*C189+G25*C191</f>
        <v>-2.2985169599448851E-2</v>
      </c>
      <c r="J274" s="34">
        <f>E51*C187+F51*C191+G51*C193</f>
        <v>-6.2423063052324701E-2</v>
      </c>
    </row>
    <row r="275" spans="7:10" x14ac:dyDescent="0.3">
      <c r="G275" t="s">
        <v>99</v>
      </c>
      <c r="H275" s="34">
        <f>E24*C188+F24*C190+G24*C192</f>
        <v>-3.2471663867470302E-2</v>
      </c>
      <c r="J275" s="34">
        <f>E50*C188+F50*C192+G50*C194</f>
        <v>6.9662295854054923E-3</v>
      </c>
    </row>
    <row r="276" spans="7:10" x14ac:dyDescent="0.3">
      <c r="G276" t="s">
        <v>100</v>
      </c>
      <c r="H276" s="34">
        <f>E25*C188+F25*C190+G25*C192</f>
        <v>0.66813956049431356</v>
      </c>
      <c r="J276" s="34">
        <f>E51*C188+F51*C192+G51*C194</f>
        <v>0.62870166704143782</v>
      </c>
    </row>
    <row r="284" spans="7:10" x14ac:dyDescent="0.3">
      <c r="H284" t="s">
        <v>101</v>
      </c>
    </row>
    <row r="285" spans="7:10" x14ac:dyDescent="0.3">
      <c r="H285">
        <f>(2*H273^2+2*H276^2+(H274+H275)^2)^0.5</f>
        <v>1.3374293811518856</v>
      </c>
      <c r="J285">
        <f>(2*J273^2+2*J276^2+(J274+J275)^2)^0.5</f>
        <v>1.258625681027091</v>
      </c>
    </row>
    <row r="287" spans="7:10" ht="20.399999999999999" x14ac:dyDescent="0.3">
      <c r="G287" s="37" t="s">
        <v>102</v>
      </c>
      <c r="H287">
        <f>(G11+G12+G13)/3</f>
        <v>0.33333333333333331</v>
      </c>
      <c r="J287">
        <f>(G37+G38+G39)/3</f>
        <v>0.66666666666666663</v>
      </c>
    </row>
    <row r="288" spans="7:10" ht="20.399999999999999" x14ac:dyDescent="0.3">
      <c r="G288" s="39" t="s">
        <v>103</v>
      </c>
      <c r="H288">
        <f>1</f>
        <v>1</v>
      </c>
      <c r="J288">
        <f>1</f>
        <v>1</v>
      </c>
    </row>
    <row r="289" spans="7:10" x14ac:dyDescent="0.3">
      <c r="G289" t="s">
        <v>104</v>
      </c>
      <c r="H289">
        <f>MIN(0.4*H287,0.09*H288)</f>
        <v>0.09</v>
      </c>
      <c r="J289">
        <f>MIN(0.4*J287,0.09*J288)</f>
        <v>0.09</v>
      </c>
    </row>
    <row r="290" spans="7:10" x14ac:dyDescent="0.3">
      <c r="G290" t="s">
        <v>105</v>
      </c>
      <c r="H290">
        <f>H289^2</f>
        <v>8.0999999999999996E-3</v>
      </c>
      <c r="J290">
        <f>J289^2</f>
        <v>8.0999999999999996E-3</v>
      </c>
    </row>
    <row r="291" spans="7:10" x14ac:dyDescent="0.3">
      <c r="G291" s="38" t="s">
        <v>106</v>
      </c>
      <c r="H291">
        <f>$S$2*H290*H285</f>
        <v>1.0833177987330272E-2</v>
      </c>
      <c r="J291">
        <f>$S$2*J290*J285</f>
        <v>1.0194868016319436E-2</v>
      </c>
    </row>
    <row r="294" spans="7:10" x14ac:dyDescent="0.3">
      <c r="G294" t="s">
        <v>107</v>
      </c>
      <c r="H294">
        <f>$S$4+H291</f>
        <v>0.11083317798733028</v>
      </c>
      <c r="J294">
        <f>$S$4+J291</f>
        <v>0.11019486801631945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для 2 треугольников</vt:lpstr>
      <vt:lpstr>2 шаг </vt:lpstr>
      <vt:lpstr>3 шаг </vt:lpstr>
      <vt:lpstr>4 шаг </vt:lpstr>
      <vt:lpstr>5 шаг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2026-06-24T07:10:13Z</dcterms:modified>
</cp:coreProperties>
</file>