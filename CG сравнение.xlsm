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tmp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ЭтаКнига" defaultThemeVersion="124226"/>
  <bookViews>
    <workbookView xWindow="240" yWindow="108" windowWidth="14808" windowHeight="8016" activeTab="1"/>
  </bookViews>
  <sheets>
    <sheet name="расчет" sheetId="1" r:id="rId1"/>
    <sheet name="IC(0)+PCG" sheetId="11" r:id="rId2"/>
    <sheet name="проверка на ПО (по Холецкому)" sheetId="8" r:id="rId3"/>
    <sheet name="LDLT_Result" sheetId="10" r:id="rId4"/>
    <sheet name="проверка на ПО (LDLT)" sheetId="9" r:id="rId5"/>
    <sheet name="BICGSTAB" sheetId="7" r:id="rId6"/>
    <sheet name="ILU0 (не подходит для CG)" sheetId="6" r:id="rId7"/>
    <sheet name="IC(0)+PCG (копия)" sheetId="12" r:id="rId8"/>
    <sheet name="точное решение" sheetId="2" r:id="rId9"/>
    <sheet name="пред Якоби" sheetId="4" r:id="rId10"/>
    <sheet name="pred G-Z (не подходит)" sheetId="5" r:id="rId11"/>
    <sheet name="1 приближение" sheetId="3" r:id="rId12"/>
  </sheets>
  <functionGroups builtInGroupCount="18"/>
  <calcPr calcId="152511"/>
</workbook>
</file>

<file path=xl/calcChain.xml><?xml version="1.0" encoding="utf-8"?>
<calcChain xmlns="http://schemas.openxmlformats.org/spreadsheetml/2006/main">
  <c r="S34" i="5" l="1" a="1"/>
  <c r="S34" i="5" s="1"/>
  <c r="R34" i="5"/>
  <c r="AA34" i="5" a="1"/>
  <c r="T34" i="5" a="1"/>
  <c r="N1" i="1" a="1"/>
  <c r="N7" i="1" s="1"/>
  <c r="B34" i="4" a="1"/>
  <c r="C34" i="4" s="1"/>
  <c r="K34" i="4" a="1"/>
  <c r="K35" i="4" s="1"/>
  <c r="L1" i="2" a="1"/>
  <c r="L2" i="2" s="1"/>
  <c r="L1" i="2"/>
  <c r="L4" i="2"/>
  <c r="L5" i="2"/>
  <c r="L8" i="2"/>
  <c r="A20" i="2" a="1"/>
  <c r="A20" i="2" s="1"/>
  <c r="S41" i="5" l="1"/>
  <c r="S37" i="5"/>
  <c r="S40" i="5"/>
  <c r="S36" i="5"/>
  <c r="S39" i="5"/>
  <c r="S35" i="5"/>
  <c r="S38" i="5"/>
  <c r="T34" i="5"/>
  <c r="U34" i="5" s="1"/>
  <c r="W34" i="5" s="1"/>
  <c r="P7" i="1"/>
  <c r="N1" i="1"/>
  <c r="N5" i="1"/>
  <c r="N2" i="1"/>
  <c r="N6" i="1"/>
  <c r="N4" i="1"/>
  <c r="N8" i="1"/>
  <c r="N3" i="1"/>
  <c r="F41" i="4"/>
  <c r="B41" i="4"/>
  <c r="F40" i="4"/>
  <c r="B40" i="4"/>
  <c r="F39" i="4"/>
  <c r="B39" i="4"/>
  <c r="F38" i="4"/>
  <c r="B38" i="4"/>
  <c r="F37" i="4"/>
  <c r="B37" i="4"/>
  <c r="F36" i="4"/>
  <c r="B36" i="4"/>
  <c r="F35" i="4"/>
  <c r="B35" i="4"/>
  <c r="F34" i="4"/>
  <c r="B34" i="4"/>
  <c r="I41" i="4"/>
  <c r="E41" i="4"/>
  <c r="I40" i="4"/>
  <c r="E40" i="4"/>
  <c r="I39" i="4"/>
  <c r="E39" i="4"/>
  <c r="I38" i="4"/>
  <c r="E38" i="4"/>
  <c r="I37" i="4"/>
  <c r="E37" i="4"/>
  <c r="I36" i="4"/>
  <c r="E36" i="4"/>
  <c r="I35" i="4"/>
  <c r="E35" i="4"/>
  <c r="I34" i="4"/>
  <c r="E34" i="4"/>
  <c r="H41" i="4"/>
  <c r="D41" i="4"/>
  <c r="H40" i="4"/>
  <c r="D40" i="4"/>
  <c r="H39" i="4"/>
  <c r="D39" i="4"/>
  <c r="H38" i="4"/>
  <c r="D38" i="4"/>
  <c r="H37" i="4"/>
  <c r="D37" i="4"/>
  <c r="H36" i="4"/>
  <c r="D36" i="4"/>
  <c r="H35" i="4"/>
  <c r="D35" i="4"/>
  <c r="H34" i="4"/>
  <c r="D34" i="4"/>
  <c r="G41" i="4"/>
  <c r="C41" i="4"/>
  <c r="G40" i="4"/>
  <c r="C40" i="4"/>
  <c r="G39" i="4"/>
  <c r="C39" i="4"/>
  <c r="G38" i="4"/>
  <c r="C38" i="4"/>
  <c r="G37" i="4"/>
  <c r="C37" i="4"/>
  <c r="G36" i="4"/>
  <c r="C36" i="4"/>
  <c r="G35" i="4"/>
  <c r="C35" i="4"/>
  <c r="G34" i="4"/>
  <c r="K38" i="4"/>
  <c r="K34" i="4"/>
  <c r="K41" i="4"/>
  <c r="K37" i="4"/>
  <c r="K40" i="4"/>
  <c r="K36" i="4"/>
  <c r="K39" i="4"/>
  <c r="L7" i="2"/>
  <c r="L3" i="2"/>
  <c r="L6" i="2"/>
  <c r="C27" i="2"/>
  <c r="C26" i="2"/>
  <c r="C25" i="2"/>
  <c r="C24" i="2"/>
  <c r="C23" i="2"/>
  <c r="G22" i="2"/>
  <c r="C22" i="2"/>
  <c r="C21" i="2"/>
  <c r="G20" i="2"/>
  <c r="C20" i="2"/>
  <c r="F27" i="2"/>
  <c r="B27" i="2"/>
  <c r="F26" i="2"/>
  <c r="B26" i="2"/>
  <c r="F25" i="2"/>
  <c r="B25" i="2"/>
  <c r="F24" i="2"/>
  <c r="B24" i="2"/>
  <c r="F23" i="2"/>
  <c r="B23" i="2"/>
  <c r="F22" i="2"/>
  <c r="B22" i="2"/>
  <c r="F21" i="2"/>
  <c r="B21" i="2"/>
  <c r="F20" i="2"/>
  <c r="B20" i="2"/>
  <c r="H27" i="2"/>
  <c r="D27" i="2"/>
  <c r="H26" i="2"/>
  <c r="D26" i="2"/>
  <c r="H25" i="2"/>
  <c r="D25" i="2"/>
  <c r="H24" i="2"/>
  <c r="D24" i="2"/>
  <c r="H23" i="2"/>
  <c r="D23" i="2"/>
  <c r="H22" i="2"/>
  <c r="D22" i="2"/>
  <c r="H21" i="2"/>
  <c r="D21" i="2"/>
  <c r="H20" i="2"/>
  <c r="D20" i="2"/>
  <c r="G27" i="2"/>
  <c r="G26" i="2"/>
  <c r="G25" i="2"/>
  <c r="G24" i="2"/>
  <c r="G23" i="2"/>
  <c r="G21" i="2"/>
  <c r="E27" i="2"/>
  <c r="A27" i="2"/>
  <c r="E26" i="2"/>
  <c r="A26" i="2"/>
  <c r="E25" i="2"/>
  <c r="A25" i="2"/>
  <c r="E24" i="2"/>
  <c r="A24" i="2"/>
  <c r="E23" i="2"/>
  <c r="A23" i="2"/>
  <c r="E22" i="2"/>
  <c r="A22" i="2"/>
  <c r="E21" i="2"/>
  <c r="A21" i="2"/>
  <c r="E20" i="2"/>
  <c r="AD30" i="1"/>
  <c r="AE30" i="1" s="1"/>
  <c r="AA30" i="1"/>
  <c r="J2" i="6" a="1"/>
  <c r="J2" i="6" s="1"/>
  <c r="V37" i="5" l="1"/>
  <c r="V41" i="5"/>
  <c r="V34" i="5"/>
  <c r="V38" i="5"/>
  <c r="V35" i="5"/>
  <c r="V39" i="5"/>
  <c r="V36" i="5"/>
  <c r="V40" i="5"/>
  <c r="W38" i="5"/>
  <c r="W41" i="5"/>
  <c r="W36" i="5"/>
  <c r="W35" i="5"/>
  <c r="W40" i="5"/>
  <c r="W39" i="5"/>
  <c r="W37" i="5"/>
  <c r="R1" i="1" a="1"/>
  <c r="R1" i="1" s="1"/>
  <c r="P1" i="1"/>
  <c r="Z1" i="1" a="1"/>
  <c r="Z1" i="1" s="1"/>
  <c r="P5" i="1"/>
  <c r="P6" i="1"/>
  <c r="P8" i="1"/>
  <c r="P4" i="1"/>
  <c r="P3" i="1"/>
  <c r="P2" i="1"/>
  <c r="K45" i="6" a="1"/>
  <c r="R50" i="6" s="1"/>
  <c r="T36" i="6" a="1"/>
  <c r="T36" i="6" s="1"/>
  <c r="K36" i="6" a="1"/>
  <c r="K36" i="6" s="1"/>
  <c r="C13" i="6"/>
  <c r="B12" i="6"/>
  <c r="Y34" i="5" l="1"/>
  <c r="AA34" i="5"/>
  <c r="S1" i="1" a="1"/>
  <c r="R52" i="6"/>
  <c r="N52" i="6"/>
  <c r="R51" i="6"/>
  <c r="N51" i="6"/>
  <c r="N50" i="6"/>
  <c r="R49" i="6"/>
  <c r="N49" i="6"/>
  <c r="R48" i="6"/>
  <c r="N48" i="6"/>
  <c r="R47" i="6"/>
  <c r="N47" i="6"/>
  <c r="R46" i="6"/>
  <c r="N46" i="6"/>
  <c r="R45" i="6"/>
  <c r="N45" i="6"/>
  <c r="Q50" i="6"/>
  <c r="Q52" i="6"/>
  <c r="M52" i="6"/>
  <c r="Q51" i="6"/>
  <c r="M51" i="6"/>
  <c r="M50" i="6"/>
  <c r="Q49" i="6"/>
  <c r="M49" i="6"/>
  <c r="Q48" i="6"/>
  <c r="M48" i="6"/>
  <c r="Q47" i="6"/>
  <c r="M47" i="6"/>
  <c r="Q46" i="6"/>
  <c r="M46" i="6"/>
  <c r="Q45" i="6"/>
  <c r="M45" i="6"/>
  <c r="P52" i="6"/>
  <c r="L52" i="6"/>
  <c r="P51" i="6"/>
  <c r="L51" i="6"/>
  <c r="P50" i="6"/>
  <c r="L50" i="6"/>
  <c r="P49" i="6"/>
  <c r="L49" i="6"/>
  <c r="P48" i="6"/>
  <c r="L48" i="6"/>
  <c r="P47" i="6"/>
  <c r="L47" i="6"/>
  <c r="P46" i="6"/>
  <c r="L46" i="6"/>
  <c r="P45" i="6"/>
  <c r="L45" i="6"/>
  <c r="O52" i="6"/>
  <c r="K52" i="6"/>
  <c r="O51" i="6"/>
  <c r="K51" i="6"/>
  <c r="O50" i="6"/>
  <c r="K50" i="6"/>
  <c r="O49" i="6"/>
  <c r="K49" i="6"/>
  <c r="O48" i="6"/>
  <c r="K48" i="6"/>
  <c r="O47" i="6"/>
  <c r="K47" i="6"/>
  <c r="O46" i="6"/>
  <c r="K46" i="6"/>
  <c r="O45" i="6"/>
  <c r="K45" i="6"/>
  <c r="T43" i="6"/>
  <c r="T39" i="6"/>
  <c r="T42" i="6"/>
  <c r="T38" i="6"/>
  <c r="T41" i="6"/>
  <c r="T37" i="6"/>
  <c r="T45" i="6" s="1" a="1"/>
  <c r="T40" i="6"/>
  <c r="Q43" i="6"/>
  <c r="M43" i="6"/>
  <c r="Q42" i="6"/>
  <c r="M42" i="6"/>
  <c r="Q41" i="6"/>
  <c r="M41" i="6"/>
  <c r="Q40" i="6"/>
  <c r="M40" i="6"/>
  <c r="Q39" i="6"/>
  <c r="M39" i="6"/>
  <c r="Q38" i="6"/>
  <c r="M38" i="6"/>
  <c r="Q37" i="6"/>
  <c r="M37" i="6"/>
  <c r="Q36" i="6"/>
  <c r="M36" i="6"/>
  <c r="P43" i="6"/>
  <c r="L43" i="6"/>
  <c r="P42" i="6"/>
  <c r="L42" i="6"/>
  <c r="P41" i="6"/>
  <c r="L41" i="6"/>
  <c r="P40" i="6"/>
  <c r="L40" i="6"/>
  <c r="P39" i="6"/>
  <c r="L39" i="6"/>
  <c r="P38" i="6"/>
  <c r="L38" i="6"/>
  <c r="P37" i="6"/>
  <c r="L37" i="6"/>
  <c r="P36" i="6"/>
  <c r="L36" i="6"/>
  <c r="R43" i="6"/>
  <c r="N43" i="6"/>
  <c r="R42" i="6"/>
  <c r="N42" i="6"/>
  <c r="R41" i="6"/>
  <c r="N41" i="6"/>
  <c r="R40" i="6"/>
  <c r="N40" i="6"/>
  <c r="R39" i="6"/>
  <c r="N39" i="6"/>
  <c r="R38" i="6"/>
  <c r="N38" i="6"/>
  <c r="R37" i="6"/>
  <c r="N37" i="6"/>
  <c r="R36" i="6"/>
  <c r="N36" i="6"/>
  <c r="O43" i="6"/>
  <c r="K43" i="6"/>
  <c r="O42" i="6"/>
  <c r="K42" i="6"/>
  <c r="O41" i="6"/>
  <c r="K41" i="6"/>
  <c r="O40" i="6"/>
  <c r="K40" i="6"/>
  <c r="O39" i="6"/>
  <c r="K39" i="6"/>
  <c r="O38" i="6"/>
  <c r="K38" i="6"/>
  <c r="O37" i="6"/>
  <c r="K37" i="6"/>
  <c r="O36" i="6"/>
  <c r="AB30" i="1"/>
  <c r="Y30" i="1"/>
  <c r="X30" i="1"/>
  <c r="U30" i="1"/>
  <c r="V30" i="1" s="1"/>
  <c r="AC1" i="3" a="1"/>
  <c r="AC1" i="3" s="1"/>
  <c r="AB1" i="3" a="1"/>
  <c r="AB1" i="3" s="1"/>
  <c r="Z34" i="5" l="1"/>
  <c r="Z38" i="5"/>
  <c r="Z35" i="5"/>
  <c r="Z36" i="5"/>
  <c r="Z39" i="5"/>
  <c r="Z37" i="5"/>
  <c r="Z40" i="5"/>
  <c r="Z41" i="5"/>
  <c r="S7" i="1"/>
  <c r="S3" i="1"/>
  <c r="S6" i="1"/>
  <c r="S2" i="1"/>
  <c r="S8" i="1"/>
  <c r="S4" i="1"/>
  <c r="S5" i="1"/>
  <c r="S1" i="1"/>
  <c r="T1" i="1" s="1"/>
  <c r="U1" i="1" s="1" a="1"/>
  <c r="U1" i="1" s="1"/>
  <c r="T45" i="6"/>
  <c r="T52" i="6"/>
  <c r="T50" i="6"/>
  <c r="T49" i="6"/>
  <c r="T48" i="6"/>
  <c r="T46" i="6"/>
  <c r="T51" i="6"/>
  <c r="T47" i="6"/>
  <c r="D14" i="6"/>
  <c r="D17" i="6" s="1"/>
  <c r="I14" i="6"/>
  <c r="F14" i="6"/>
  <c r="G14" i="6"/>
  <c r="AB7" i="3"/>
  <c r="AB6" i="3"/>
  <c r="AB2" i="3"/>
  <c r="AB8" i="3"/>
  <c r="AB4" i="3"/>
  <c r="AB3" i="3"/>
  <c r="AB5" i="3"/>
  <c r="I31" i="4"/>
  <c r="H30" i="4"/>
  <c r="G29" i="4"/>
  <c r="F28" i="4"/>
  <c r="E27" i="4"/>
  <c r="D26" i="4"/>
  <c r="C25" i="4"/>
  <c r="B24" i="4"/>
  <c r="B31" i="4"/>
  <c r="C31" i="4"/>
  <c r="D31" i="4"/>
  <c r="E31" i="4"/>
  <c r="F31" i="4"/>
  <c r="G31" i="4"/>
  <c r="H31" i="4"/>
  <c r="B25" i="4"/>
  <c r="D25" i="4"/>
  <c r="E25" i="4"/>
  <c r="F25" i="4"/>
  <c r="G25" i="4"/>
  <c r="H25" i="4"/>
  <c r="I25" i="4"/>
  <c r="B26" i="4"/>
  <c r="C26" i="4"/>
  <c r="E26" i="4"/>
  <c r="F26" i="4"/>
  <c r="G26" i="4"/>
  <c r="H26" i="4"/>
  <c r="I26" i="4"/>
  <c r="B27" i="4"/>
  <c r="C27" i="4"/>
  <c r="D27" i="4"/>
  <c r="F27" i="4"/>
  <c r="G27" i="4"/>
  <c r="H27" i="4"/>
  <c r="I27" i="4"/>
  <c r="B28" i="4"/>
  <c r="C28" i="4"/>
  <c r="D28" i="4"/>
  <c r="E28" i="4"/>
  <c r="G28" i="4"/>
  <c r="H28" i="4"/>
  <c r="I28" i="4"/>
  <c r="B29" i="4"/>
  <c r="C29" i="4"/>
  <c r="D29" i="4"/>
  <c r="E29" i="4"/>
  <c r="F29" i="4"/>
  <c r="H29" i="4"/>
  <c r="I29" i="4"/>
  <c r="B30" i="4"/>
  <c r="C30" i="4"/>
  <c r="D30" i="4"/>
  <c r="E30" i="4"/>
  <c r="F30" i="4"/>
  <c r="G30" i="4"/>
  <c r="I30" i="4"/>
  <c r="C24" i="4"/>
  <c r="D24" i="4"/>
  <c r="E24" i="4"/>
  <c r="F24" i="4"/>
  <c r="G24" i="4"/>
  <c r="H24" i="4"/>
  <c r="I24" i="4"/>
  <c r="V7" i="1" l="1"/>
  <c r="V3" i="1"/>
  <c r="V8" i="1"/>
  <c r="V4" i="1"/>
  <c r="V6" i="1"/>
  <c r="V2" i="1"/>
  <c r="V1" i="1" a="1"/>
  <c r="V1" i="1" s="1"/>
  <c r="AB1" i="1" s="1" a="1"/>
  <c r="V5" i="1"/>
  <c r="W7" i="1"/>
  <c r="W1" i="1" a="1"/>
  <c r="W1" i="1" s="1"/>
  <c r="W8" i="1"/>
  <c r="W5" i="1"/>
  <c r="W3" i="1"/>
  <c r="W4" i="1"/>
  <c r="W6" i="1"/>
  <c r="W2" i="1"/>
  <c r="D16" i="6"/>
  <c r="D19" i="6"/>
  <c r="AB7" i="1" l="1"/>
  <c r="AB3" i="1"/>
  <c r="AB6" i="1"/>
  <c r="AB2" i="1"/>
  <c r="AB8" i="1"/>
  <c r="AB4" i="1"/>
  <c r="AB5" i="1"/>
  <c r="AB1" i="1"/>
  <c r="AC1" i="1" s="1" a="1"/>
  <c r="AC1" i="1" s="1"/>
  <c r="X1" i="1"/>
  <c r="Y1" i="1" s="1" a="1"/>
  <c r="E15" i="6"/>
  <c r="Y6" i="1" l="1"/>
  <c r="Y2" i="1"/>
  <c r="Y5" i="1"/>
  <c r="Y1" i="1"/>
  <c r="Y7" i="1"/>
  <c r="Y3" i="1"/>
  <c r="Y8" i="1"/>
  <c r="Y4" i="1"/>
  <c r="G16" i="6"/>
  <c r="H16" i="6"/>
  <c r="I16" i="6" l="1"/>
  <c r="F16" i="6"/>
  <c r="F18" i="6" s="1"/>
  <c r="N1" i="3" a="1"/>
  <c r="N7" i="3" s="1"/>
  <c r="A10" i="2" a="1"/>
  <c r="A10" i="2" s="1"/>
  <c r="F17" i="6" l="1"/>
  <c r="F19" i="6"/>
  <c r="P7" i="3"/>
  <c r="N8" i="3"/>
  <c r="N4" i="3"/>
  <c r="N1" i="3"/>
  <c r="N5" i="3"/>
  <c r="N2" i="3"/>
  <c r="N6" i="3"/>
  <c r="N3" i="3"/>
  <c r="H17" i="2"/>
  <c r="H16" i="2"/>
  <c r="H15" i="2"/>
  <c r="H14" i="2"/>
  <c r="H13" i="2"/>
  <c r="D12" i="2"/>
  <c r="D10" i="2"/>
  <c r="G17" i="2"/>
  <c r="G16" i="2"/>
  <c r="G15" i="2"/>
  <c r="G14" i="2"/>
  <c r="G13" i="2"/>
  <c r="G12" i="2"/>
  <c r="G11" i="2"/>
  <c r="G10" i="2"/>
  <c r="F17" i="2"/>
  <c r="F16" i="2"/>
  <c r="B12" i="2"/>
  <c r="B10" i="2"/>
  <c r="D17" i="2"/>
  <c r="D16" i="2"/>
  <c r="D15" i="2"/>
  <c r="D14" i="2"/>
  <c r="D13" i="2"/>
  <c r="H12" i="2"/>
  <c r="H11" i="2"/>
  <c r="D11" i="2"/>
  <c r="H10" i="2"/>
  <c r="C17" i="2"/>
  <c r="C16" i="2"/>
  <c r="C15" i="2"/>
  <c r="C14" i="2"/>
  <c r="C13" i="2"/>
  <c r="C12" i="2"/>
  <c r="C11" i="2"/>
  <c r="C10" i="2"/>
  <c r="B17" i="2"/>
  <c r="B16" i="2"/>
  <c r="F15" i="2"/>
  <c r="B15" i="2"/>
  <c r="F14" i="2"/>
  <c r="B14" i="2"/>
  <c r="F13" i="2"/>
  <c r="B13" i="2"/>
  <c r="F12" i="2"/>
  <c r="F11" i="2"/>
  <c r="B11" i="2"/>
  <c r="F10" i="2"/>
  <c r="E17" i="2"/>
  <c r="A17" i="2"/>
  <c r="E16" i="2"/>
  <c r="A16" i="2"/>
  <c r="E15" i="2"/>
  <c r="A15" i="2"/>
  <c r="E14" i="2"/>
  <c r="A14" i="2"/>
  <c r="E13" i="2"/>
  <c r="A13" i="2"/>
  <c r="E12" i="2"/>
  <c r="A12" i="2"/>
  <c r="E11" i="2"/>
  <c r="A11" i="2"/>
  <c r="E10" i="2"/>
  <c r="I17" i="6" l="1"/>
  <c r="G17" i="6"/>
  <c r="G18" i="6" s="1"/>
  <c r="H17" i="6"/>
  <c r="Q36" i="1"/>
  <c r="P6" i="3"/>
  <c r="P2" i="3"/>
  <c r="P5" i="3"/>
  <c r="P4" i="3"/>
  <c r="P8" i="3"/>
  <c r="P3" i="3"/>
  <c r="P1" i="3"/>
  <c r="Z1" i="3" a="1"/>
  <c r="Z1" i="3" s="1"/>
  <c r="R1" i="3" a="1"/>
  <c r="R1" i="3" s="1"/>
  <c r="AD36" i="1" l="1"/>
  <c r="AE36" i="1" s="1"/>
  <c r="X36" i="1"/>
  <c r="Y36" i="1" s="1"/>
  <c r="U36" i="1"/>
  <c r="V36" i="1" s="1"/>
  <c r="AA36" i="1"/>
  <c r="AB36" i="1" s="1"/>
  <c r="H18" i="6"/>
  <c r="G19" i="6"/>
  <c r="Q37" i="1"/>
  <c r="Q31" i="1"/>
  <c r="Q32" i="1"/>
  <c r="Q33" i="1"/>
  <c r="Q34" i="1"/>
  <c r="Q35" i="1"/>
  <c r="S1" i="3" a="1"/>
  <c r="AD37" i="1" l="1"/>
  <c r="AE37" i="1" s="1"/>
  <c r="AA37" i="1"/>
  <c r="AB37" i="1" s="1"/>
  <c r="X37" i="1"/>
  <c r="Y37" i="1" s="1"/>
  <c r="U37" i="1"/>
  <c r="V37" i="1" s="1"/>
  <c r="AD34" i="1"/>
  <c r="AE34" i="1" s="1"/>
  <c r="U34" i="1"/>
  <c r="V34" i="1" s="1"/>
  <c r="AA34" i="1"/>
  <c r="AB34" i="1" s="1"/>
  <c r="X34" i="1"/>
  <c r="Y34" i="1" s="1"/>
  <c r="AD33" i="1"/>
  <c r="AE33" i="1" s="1"/>
  <c r="X33" i="1"/>
  <c r="Y33" i="1" s="1"/>
  <c r="U33" i="1"/>
  <c r="V33" i="1" s="1"/>
  <c r="AA33" i="1"/>
  <c r="AB33" i="1" s="1"/>
  <c r="AD32" i="1"/>
  <c r="AE32" i="1" s="1"/>
  <c r="X32" i="1"/>
  <c r="Y32" i="1" s="1"/>
  <c r="U32" i="1"/>
  <c r="V32" i="1" s="1"/>
  <c r="AA32" i="1"/>
  <c r="AB32" i="1" s="1"/>
  <c r="AB38" i="1" s="1"/>
  <c r="AD35" i="1"/>
  <c r="AE35" i="1" s="1"/>
  <c r="AA35" i="1"/>
  <c r="AB35" i="1" s="1"/>
  <c r="X35" i="1"/>
  <c r="Y35" i="1" s="1"/>
  <c r="U35" i="1"/>
  <c r="V35" i="1" s="1"/>
  <c r="AD31" i="1"/>
  <c r="AE31" i="1" s="1"/>
  <c r="AA31" i="1"/>
  <c r="AB31" i="1" s="1"/>
  <c r="X31" i="1"/>
  <c r="Y31" i="1" s="1"/>
  <c r="U31" i="1"/>
  <c r="V31" i="1" s="1"/>
  <c r="I19" i="6"/>
  <c r="S8" i="3"/>
  <c r="S4" i="3"/>
  <c r="S7" i="3"/>
  <c r="S3" i="3"/>
  <c r="S2" i="3"/>
  <c r="S5" i="3"/>
  <c r="S6" i="3"/>
  <c r="S1" i="3"/>
  <c r="T1" i="3" s="1"/>
  <c r="U1" i="3" s="1" a="1"/>
  <c r="U1" i="3" s="1"/>
  <c r="V38" i="1" l="1"/>
  <c r="V7" i="3"/>
  <c r="V3" i="3"/>
  <c r="V1" i="3" a="1"/>
  <c r="V1" i="3" s="1"/>
  <c r="V8" i="3"/>
  <c r="V4" i="3"/>
  <c r="V6" i="3"/>
  <c r="V2" i="3"/>
  <c r="V5" i="3"/>
  <c r="W7" i="3"/>
  <c r="W5" i="3"/>
  <c r="W8" i="3"/>
  <c r="W1" i="3" a="1"/>
  <c r="W1" i="3" s="1"/>
  <c r="W4" i="3"/>
  <c r="W6" i="3"/>
  <c r="W2" i="3"/>
  <c r="W3" i="3"/>
  <c r="X1" i="3" l="1"/>
  <c r="Y1" i="3" s="1" a="1"/>
  <c r="Y7" i="3" l="1"/>
  <c r="Y3" i="3"/>
  <c r="Y6" i="3"/>
  <c r="Y2" i="3"/>
  <c r="Y5" i="3"/>
  <c r="Y8" i="3"/>
  <c r="Y4" i="3"/>
  <c r="Y1" i="3"/>
</calcChain>
</file>

<file path=xl/sharedStrings.xml><?xml version="1.0" encoding="utf-8"?>
<sst xmlns="http://schemas.openxmlformats.org/spreadsheetml/2006/main" count="465" uniqueCount="243">
  <si>
    <t>матрица А</t>
  </si>
  <si>
    <t>вектор b</t>
  </si>
  <si>
    <t>текущее x</t>
  </si>
  <si>
    <t>текущая невязка r</t>
  </si>
  <si>
    <t>текущее направление p</t>
  </si>
  <si>
    <t>r·r</t>
  </si>
  <si>
    <t>A·p</t>
  </si>
  <si>
    <t>p·A·p</t>
  </si>
  <si>
    <t>α</t>
  </si>
  <si>
    <t>Новое x</t>
  </si>
  <si>
    <t>β</t>
  </si>
  <si>
    <t>Новое p</t>
  </si>
  <si>
    <t>Реализация метода сопряженных градиентов (CG)</t>
  </si>
  <si>
    <t>r = b - A·x</t>
  </si>
  <si>
    <t>p = r</t>
  </si>
  <si>
    <t>α = (r·r) / (p·A·p)</t>
  </si>
  <si>
    <t>x_new = x + α·p</t>
  </si>
  <si>
    <t>r_new = r - α·A·p</t>
  </si>
  <si>
    <t>β = (r_new·r_new) / (r·r)</t>
  </si>
  <si>
    <t>p_new = r_new + β·p</t>
  </si>
  <si>
    <t>ск. произв.</t>
  </si>
  <si>
    <t>x</t>
  </si>
  <si>
    <t>b</t>
  </si>
  <si>
    <t>A-1</t>
  </si>
  <si>
    <t>A</t>
  </si>
  <si>
    <t>Новая невязка r new</t>
  </si>
  <si>
    <t>точное решение</t>
  </si>
  <si>
    <t>Норма невязки r</t>
  </si>
  <si>
    <t>исходная матрица</t>
  </si>
  <si>
    <t>D</t>
  </si>
  <si>
    <t>диагональная матрица</t>
  </si>
  <si>
    <t>Считаем обратную диагональ D⁻¹</t>
  </si>
  <si>
    <t>Умножаем D⁻¹ на исходную матрицу A (слева)</t>
  </si>
  <si>
    <t>Якоби</t>
  </si>
  <si>
    <t>1. Задали матрицу A и вектор b (это исходная система Ax = b)</t>
  </si>
  <si>
    <t>2. Задали начальное приближение x₀ (обычно 0)</t>
  </si>
  <si>
    <t>3. Вычислили начальную невязку r₀ = b - A·x₀</t>
  </si>
  <si>
    <t>4. ПРИМЕНИЛИ ПРЕДОБУСЛАВЛИВАТЕЛЬ: решили M·z₀ = r₀  ← ВОТ ЗДЕСЬ!</t>
  </si>
  <si>
    <t>5. Начальное направление p₀ = z₀</t>
  </si>
  <si>
    <t>6. ДАЛЬШЕ ИДЕТ ЦИКЛ:</t>
  </si>
  <si>
    <t xml:space="preserve">   a. alpha = (r·z) / (p·A·p)</t>
  </si>
  <si>
    <t xml:space="preserve">   b. x_new = x + alpha·p         ← ВОТ ЗДЕСЬ ПОЯВЛЯЕТСЯ РЕШЕНИЕ!</t>
  </si>
  <si>
    <t xml:space="preserve">   c. r_new = r - alpha·A·p</t>
  </si>
  <si>
    <t xml:space="preserve">   d. ПРИМЕНИЛИ ПРЕДОБУСЛАВЛИВАТЕЛЬ: решили M·z_new = r_new</t>
  </si>
  <si>
    <t xml:space="preserve">   e. beta = (r_new·z_new) / (r·z)</t>
  </si>
  <si>
    <t xml:space="preserve">   f. p_new = z_new + beta·p</t>
  </si>
  <si>
    <t xml:space="preserve">   g. Переход на следующий шаг</t>
  </si>
  <si>
    <t>r</t>
  </si>
  <si>
    <t>z0 (вместо r)</t>
  </si>
  <si>
    <t>Г-З</t>
  </si>
  <si>
    <t>Предобусловленная невязка z</t>
  </si>
  <si>
    <t>r·z</t>
  </si>
  <si>
    <t>r₁ = r₀ - α·A·p₀</t>
  </si>
  <si>
    <r>
      <t>1. СНОВА применяете предобуславливатель</t>
    </r>
    <r>
      <rPr>
        <sz val="8"/>
        <color rgb="FF0F1115"/>
        <rFont val="Segoe UI"/>
        <family val="2"/>
        <charset val="204"/>
      </rPr>
      <t> к r₁ (запускаете макрос с новым r)</t>
    </r>
  </si>
  <si>
    <t>z1</t>
  </si>
  <si>
    <t>β = (r₁·z₁) / (r₀·z₀)</t>
  </si>
  <si>
    <t>p₁ = z₁ + β·p₀</t>
  </si>
  <si>
    <t>честная невязка</t>
  </si>
  <si>
    <t>Норма невязки r'</t>
  </si>
  <si>
    <t>L</t>
  </si>
  <si>
    <t xml:space="preserve">3 итерации </t>
  </si>
  <si>
    <t>после 3 итерации</t>
  </si>
  <si>
    <t>честная норма невязки</t>
  </si>
  <si>
    <t xml:space="preserve">1 итерация </t>
  </si>
  <si>
    <t xml:space="preserve">2 итерация </t>
  </si>
  <si>
    <t xml:space="preserve">3 итерация </t>
  </si>
  <si>
    <t>точное решение…</t>
  </si>
  <si>
    <t>Δ</t>
  </si>
  <si>
    <r>
      <t>в M</t>
    </r>
    <r>
      <rPr>
        <sz val="10"/>
        <color rgb="FF0F1115"/>
        <rFont val="Segoe UI"/>
        <family val="2"/>
        <charset val="204"/>
      </rPr>
      <t> мы будем хранить элементы </t>
    </r>
    <r>
      <rPr>
        <i/>
        <sz val="13.3"/>
        <color rgb="FF0F1115"/>
        <rFont val="KaTeX_Math"/>
      </rPr>
      <t>U</t>
    </r>
    <r>
      <rPr>
        <sz val="10"/>
        <color rgb="FF0F1115"/>
        <rFont val="Segoe UI"/>
        <family val="2"/>
        <charset val="204"/>
      </rPr>
      <t> (включая диагональ) и элементы </t>
    </r>
    <r>
      <rPr>
        <i/>
        <sz val="13.3"/>
        <color rgb="FF0F1115"/>
        <rFont val="KaTeX_Math"/>
      </rPr>
      <t>L</t>
    </r>
    <r>
      <rPr>
        <sz val="10"/>
        <color rgb="FF0F1115"/>
        <rFont val="Segoe UI"/>
        <family val="2"/>
        <charset val="204"/>
      </rPr>
      <t> (строго под диагональю).</t>
    </r>
  </si>
  <si>
    <t>M</t>
  </si>
  <si>
    <t>U</t>
  </si>
  <si>
    <t>z- новая невязка</t>
  </si>
  <si>
    <t>y</t>
  </si>
  <si>
    <t>мы конечно делаем через прямой/обратный ход</t>
  </si>
  <si>
    <t>z</t>
  </si>
  <si>
    <t>тогда 1 итерация</t>
  </si>
  <si>
    <t>L (ILU0)</t>
  </si>
  <si>
    <t>U (ILU0)</t>
  </si>
  <si>
    <t>δ, %</t>
  </si>
  <si>
    <t>3 итерации bicgstab</t>
  </si>
  <si>
    <t>Решение x:</t>
  </si>
  <si>
    <t>Количество итераций:</t>
  </si>
  <si>
    <t>Относительная невязка:</t>
  </si>
  <si>
    <t>E</t>
  </si>
  <si>
    <t>CG</t>
  </si>
  <si>
    <t xml:space="preserve">4 итерации </t>
  </si>
  <si>
    <t xml:space="preserve">здесь работает макрос Демо </t>
  </si>
  <si>
    <t>M=L+D</t>
  </si>
  <si>
    <t>текущее направление p (z)</t>
  </si>
  <si>
    <t>p</t>
  </si>
  <si>
    <t>новое p</t>
  </si>
  <si>
    <t>почему не сходится:</t>
  </si>
  <si>
    <t>и этот алгоритм нам не подходит!!!</t>
  </si>
  <si>
    <t>не подходит!!!</t>
  </si>
  <si>
    <t>Матрица L (нижняя треугольная, диагональ = 1):</t>
  </si>
  <si>
    <t>Матрица D (диагональная):</t>
  </si>
  <si>
    <t>Проверка положительной определенности:</t>
  </si>
  <si>
    <t>D(1) = 741,758241758242 ? &gt; 0</t>
  </si>
  <si>
    <t>D(2) = 741,758241758242 ? &gt; 0</t>
  </si>
  <si>
    <t>D(3) = 741,758241758242 ? &gt; 0</t>
  </si>
  <si>
    <t>D(4) = 741,758241758242 ? &gt; 0</t>
  </si>
  <si>
    <t>D(5) = 691,900691900692 ? &gt; 0</t>
  </si>
  <si>
    <t>D(6) = 555,429864253394 ? &gt; 0</t>
  </si>
  <si>
    <t>D(7) = 294,140686197713 ? &gt; 0</t>
  </si>
  <si>
    <t>D(8) = 532,623169107856 ? &gt; 0</t>
  </si>
  <si>
    <t>? Матрица ПОЛОЖИТЕЛЬНО ОПРЕДЕЛЕНА (SPD)</t>
  </si>
  <si>
    <t>Проверка: A = L * D * L^T (должна совпадать с исходной матрицей)</t>
  </si>
  <si>
    <t>Итерация</t>
  </si>
  <si>
    <t>Невязка</t>
  </si>
  <si>
    <t>? (rho)</t>
  </si>
  <si>
    <t>x1</t>
  </si>
  <si>
    <t>x2</t>
  </si>
  <si>
    <t>x3</t>
  </si>
  <si>
    <t>...</t>
  </si>
  <si>
    <t>x4</t>
  </si>
  <si>
    <t>x5</t>
  </si>
  <si>
    <t>x6</t>
  </si>
  <si>
    <t>x7</t>
  </si>
  <si>
    <t>x8</t>
  </si>
  <si>
    <t>АЛГОРИТМ ICPCG (Incomplete Cholesky Preconditioned Conjugate Gradient)</t>
  </si>
  <si>
    <t>ВХОД:</t>
  </si>
  <si>
    <t xml:space="preserve">  - Матрица A (n×n, симметричная, положительно определенная)</t>
  </si>
  <si>
    <t xml:space="preserve">  - Вектор b (n×1)</t>
  </si>
  <si>
    <t xml:space="preserve">  - maxIter = 1000 (макс. число итераций)</t>
  </si>
  <si>
    <t xml:space="preserve">  - tol = 1e-8 (точность)</t>
  </si>
  <si>
    <t>ВЫХОД:</t>
  </si>
  <si>
    <t xml:space="preserve">  - Вектор x (решение системы A·x = b)</t>
  </si>
  <si>
    <t>--------------------------------------------------------------------------------</t>
  </si>
  <si>
    <t>ШАГ 1: ПОСТРОЕНИЕ ПРЕДОБУСЛАВЛИВАТЕЛЯ IC(0)</t>
  </si>
  <si>
    <t>1.1  Создать пустую матрицу L размером n×n</t>
  </si>
  <si>
    <t>1.2  Скопировать нижний треугольник A в L (включая диагональ)</t>
  </si>
  <si>
    <t>1.3  Для i = 1 до n:</t>
  </si>
  <si>
    <t xml:space="preserve">        sum = 0</t>
  </si>
  <si>
    <t xml:space="preserve">        Для k = 1 до i-1:</t>
  </si>
  <si>
    <t xml:space="preserve">            sum = sum + L(i,k)²</t>
  </si>
  <si>
    <t xml:space="preserve">        Если L(i,i) - sum &lt;= 0:</t>
  </si>
  <si>
    <t xml:space="preserve">            Добавить диагональный сдвиг для стабилизации</t>
  </si>
  <si>
    <t xml:space="preserve">        L(i,i) = sqrt(L(i,i) - sum)   // вычисляем диагональ</t>
  </si>
  <si>
    <t xml:space="preserve">        </t>
  </si>
  <si>
    <t xml:space="preserve">        Для j = i+1 до n:</t>
  </si>
  <si>
    <t xml:space="preserve">            Если L(j,i) ≠ 0:</t>
  </si>
  <si>
    <t xml:space="preserve">                sum = 0</t>
  </si>
  <si>
    <t xml:space="preserve">                Для k = 1 до i-1:</t>
  </si>
  <si>
    <t xml:space="preserve">                    sum = sum + L(j,k)·L(i,k)</t>
  </si>
  <si>
    <t xml:space="preserve">                L(j,i) = (L(j,i) - sum) / L(i,i)</t>
  </si>
  <si>
    <t>1.4  Вычислить M = L·Lᵀ (для отображения, не используется в расчетах)</t>
  </si>
  <si>
    <t>ШАГ 2: РЕШЕНИЕ PCG С ПРЕДОБУСЛАВЛИВАТЕЛЕМ</t>
  </si>
  <si>
    <t>2.1  Инициализация:</t>
  </si>
  <si>
    <t xml:space="preserve">     x = 0 (начальное приближение)</t>
  </si>
  <si>
    <t xml:space="preserve">     r = b - A·x (начальная невязка)</t>
  </si>
  <si>
    <t xml:space="preserve">     z = M⁻¹·r (решаем L·Lᵀ·z = r через две подстановки)</t>
  </si>
  <si>
    <t xml:space="preserve">     p = z</t>
  </si>
  <si>
    <t xml:space="preserve">     rho = rᵀ·z</t>
  </si>
  <si>
    <t>2.2  Для iter = 0 до maxIter-1:</t>
  </si>
  <si>
    <t xml:space="preserve">     // Основной шаг метода сопряженных градиентов</t>
  </si>
  <si>
    <t xml:space="preserve">     Ap = A·p</t>
  </si>
  <si>
    <t xml:space="preserve">     alpha = rho / (pᵀ·Ap)</t>
  </si>
  <si>
    <t xml:space="preserve">     x = x + alpha·p</t>
  </si>
  <si>
    <t xml:space="preserve">     r = r - alpha·Ap</t>
  </si>
  <si>
    <t xml:space="preserve">     </t>
  </si>
  <si>
    <t xml:space="preserve">     // Проверка сходимости</t>
  </si>
  <si>
    <t xml:space="preserve">     residual_norm = sqrt(rᵀ·r)</t>
  </si>
  <si>
    <t xml:space="preserve">     Если residual_norm &lt; tol:</t>
  </si>
  <si>
    <t xml:space="preserve">         ВЫХОД (решение найдено)</t>
  </si>
  <si>
    <t xml:space="preserve">     // Применение предобуславливателя</t>
  </si>
  <si>
    <t xml:space="preserve">     z = M⁻¹·r (решаем L·Lᵀ·z = r)</t>
  </si>
  <si>
    <t xml:space="preserve">     rho_new = rᵀ·z</t>
  </si>
  <si>
    <t xml:space="preserve">     beta = rho_new / rho</t>
  </si>
  <si>
    <t xml:space="preserve">     p = z + beta·p</t>
  </si>
  <si>
    <t xml:space="preserve">     rho = rho_new</t>
  </si>
  <si>
    <t>2.3  Вернуть x как решение</t>
  </si>
  <si>
    <t>ШАГ 3: ВЫВОД РЕЗУЛЬТАТОВ</t>
  </si>
  <si>
    <t>3.1  Вывести матрицу M = L·Lᵀ (предобусловленная)</t>
  </si>
  <si>
    <t>3.2  Вывести матрицу L (нижний треугольник)</t>
  </si>
  <si>
    <t>3.3  Вывести историю итераций (номер, невязка, rho, x)</t>
  </si>
  <si>
    <t>3.4  Вывести финальное решение x</t>
  </si>
  <si>
    <t>M · z = r</t>
  </si>
  <si>
    <t>(L·Lᵀ) · z = r</t>
  </si>
  <si>
    <t>ШАГ 1: L · y = r      → находим y</t>
  </si>
  <si>
    <t>ШАГ 2: Lᵀ · z = y     → находим z</t>
  </si>
  <si>
    <t>В итоге: z = M^(-1) · r</t>
  </si>
  <si>
    <t>IC(0)+PCG</t>
  </si>
  <si>
    <t>решение за 2 итерации</t>
  </si>
  <si>
    <t>точное</t>
  </si>
  <si>
    <t>ИНИЦИАЛИЗАЦИЯ:</t>
  </si>
  <si>
    <t xml:space="preserve">  x = 0</t>
  </si>
  <si>
    <t xml:space="preserve">  r = b - A·x</t>
  </si>
  <si>
    <t xml:space="preserve">  z = ПрименитьПредобуславливатель(r)   ← использует L</t>
  </si>
  <si>
    <t xml:space="preserve">  p = z</t>
  </si>
  <si>
    <t xml:space="preserve">  rho = rᵀ·z</t>
  </si>
  <si>
    <t>ЦИКЛ ПОКА не сойдется:</t>
  </si>
  <si>
    <t xml:space="preserve">  1. Ap = A·p                          ← использует A</t>
  </si>
  <si>
    <t xml:space="preserve">  2. alpha = rho / (pᵀ·Ap)</t>
  </si>
  <si>
    <t xml:space="preserve">  3. x = x + alpha·p</t>
  </si>
  <si>
    <t xml:space="preserve">  4. r = r - alpha·Ap</t>
  </si>
  <si>
    <t xml:space="preserve">  5. Проверка сходимости</t>
  </si>
  <si>
    <t xml:space="preserve">  6. z = ПрименитьПредобуславливатель(r) ← использует L</t>
  </si>
  <si>
    <t xml:space="preserve">  7. rho_new = rᵀ·z</t>
  </si>
  <si>
    <t xml:space="preserve">  8. beta = rho_new / rho</t>
  </si>
  <si>
    <t xml:space="preserve">  9. p = z + beta·p</t>
  </si>
  <si>
    <t xml:space="preserve">  10. rho = rho_new</t>
  </si>
  <si>
    <t>ФУНКЦИЯ ПрименитьПредобуславливатель(r):</t>
  </si>
  <si>
    <t xml:space="preserve">  1. Решить L·y = r                    ← использует L</t>
  </si>
  <si>
    <t xml:space="preserve">  2. Решить Lᵀ·z = y                   ← использует L</t>
  </si>
  <si>
    <t xml:space="preserve">  3. Вернуть z</t>
  </si>
  <si>
    <t>подробно по итерациям:</t>
  </si>
  <si>
    <t>┌─────────────────────────────────────────────────────────────────┐</t>
  </si>
  <si>
    <t>│                    ИНИЦИАЛИЗАЦИЯ (iter = 0)                    │</t>
  </si>
  <si>
    <t>├─────────────────────────────────────────────────────────────────┤</t>
  </si>
  <si>
    <t>│  x₀ = 0                                                        │</t>
  </si>
  <si>
    <t>│  r₀ = b - A·x₀        ← начальная невязка                     │</t>
  </si>
  <si>
    <t>│  z₀ = M⁻¹·r₀          ← применяем предобуславливатель         │</t>
  </si>
  <si>
    <t>│  p₀ = z₀                                                       │</t>
  </si>
  <si>
    <t>│  ρ₀ = r₀ᵀ·z₀          ← начальное rho                        │</t>
  </si>
  <si>
    <t>└─────────────────────────────────────────────────────────────────┘</t>
  </si>
  <si>
    <t xml:space="preserve">                              ▼</t>
  </si>
  <si>
    <t>│                  ИТЕРАЦИЯ 1 (iter = 1)                         │</t>
  </si>
  <si>
    <t>│  1. Ap₀ = A·p₀                                                 │</t>
  </si>
  <si>
    <t>│  2. α₀ = ρ₀ / (p₀ᵀ·Ap₀)                                      │</t>
  </si>
  <si>
    <t>│  3. x₁ = x₀ + α₀·p₀                                           │</t>
  </si>
  <si>
    <t>│  4. r₁ = r₀ - α₀·Ap₀      ← НОВАЯ невязка                    │</t>
  </si>
  <si>
    <t>│  5. Проверка: ||r₁|| &lt; tol?                                   │</t>
  </si>
  <si>
    <t>│  6. z₁ = M⁻¹·r₁           ← НОВЫЙ z (из нового r)            │</t>
  </si>
  <si>
    <t>│  7. ρ₁ = r₁ᵀ·z₁           ← НОВОЕ rho                         │</t>
  </si>
  <si>
    <t>│  8. β₀ = ρ₁ / ρ₀                                              │</t>
  </si>
  <si>
    <t>│  9. p₁ = z₁ + β₀·p₀      ← НОВОЕ направление                  │</t>
  </si>
  <si>
    <t>│ 10. ρ₀ = ρ₁               ← ОБНОВЛЯЕМ rho для след. итерации  │</t>
  </si>
  <si>
    <t>│                  ИТЕРАЦИЯ 2 (iter = 2)                         │</t>
  </si>
  <si>
    <t>│  1. Ap₁ = A·p₁                                                 │</t>
  </si>
  <si>
    <t>│  2. α₁ = ρ₁ / (p₁ᵀ·Ap₁)    ← используем ρ₁ (обновленное)     │</t>
  </si>
  <si>
    <t>│  3. x₂ = x₁ + α₁·p₁                                           │</t>
  </si>
  <si>
    <t>│  4. r₂ = r₁ - α₁·Ap₁      ← НОВАЯ невязка                    │</t>
  </si>
  <si>
    <t>│  5. Проверка: ||r₂|| &lt; tol?                                   │</t>
  </si>
  <si>
    <t>│  6. z₂ = M⁻¹·r₂           ← НОВЫЙ z (из нового r)            │</t>
  </si>
  <si>
    <t>│  7. ρ₂ = r₂ᵀ·z₂           ← НОВОЕ rho                         │</t>
  </si>
  <si>
    <t>│  8. β₁ = ρ₂ / ρ₁                                              │</t>
  </si>
  <si>
    <t>│  9. p₂ = z₂ + β₁·p₁      ← НОВОЕ направление                  │</t>
  </si>
  <si>
    <t>│ 10. ρ₁ = ρ₂               ← ОБНОВЛЯЕМ rho                     │</t>
  </si>
  <si>
    <t xml:space="preserve">                          ... и т.д.</t>
  </si>
  <si>
    <t>Сравнительная таблица методов</t>
  </si>
  <si>
    <t>Расширенная сравнительная таблица методов</t>
  </si>
  <si>
    <t>Предобусловленная матрица M = L*L'</t>
  </si>
  <si>
    <t>Матрица L (нижний треугольник)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</si>
</sst>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00000"/>
  </numFmts>
  <fonts count="17">
    <font>
      <sz val="11"/>
      <color theme="1"/>
      <name val="Calibri"/>
      <family val="2"/>
      <scheme val="minor"/>
    </font>
    <font>
      <sz val="9"/>
      <color rgb="FF0F1115"/>
      <name val="Segoe UI"/>
      <family val="2"/>
      <charset val="204"/>
    </font>
    <font>
      <b/>
      <sz val="13"/>
      <color rgb="FF0F1115"/>
      <name val="Segoe UI"/>
      <family val="2"/>
      <charset val="204"/>
    </font>
    <font>
      <sz val="8"/>
      <color theme="1"/>
      <name val="Calibri"/>
      <family val="2"/>
      <scheme val="minor"/>
    </font>
    <font>
      <sz val="10"/>
      <color rgb="FF0F1115"/>
      <name val="Segoe UI"/>
      <family val="2"/>
      <charset val="204"/>
    </font>
    <font>
      <sz val="11"/>
      <color theme="1"/>
      <name val="Calibri"/>
      <family val="2"/>
      <charset val="204"/>
    </font>
    <font>
      <sz val="10"/>
      <color rgb="FF0F1115"/>
      <name val="Segoe UI"/>
      <family val="2"/>
      <charset val="204"/>
    </font>
    <font>
      <sz val="8"/>
      <color rgb="FF0F1115"/>
      <name val="Segoe UI"/>
      <family val="2"/>
      <charset val="204"/>
    </font>
    <font>
      <sz val="9.6"/>
      <color rgb="FF0F1115"/>
      <name val="Consolas"/>
      <family val="3"/>
      <charset val="204"/>
    </font>
    <font>
      <i/>
      <sz val="13.3"/>
      <color rgb="FF0F1115"/>
      <name val="KaTeX_Math"/>
    </font>
    <font>
      <b/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scheme val="minor"/>
    </font>
    <font>
      <sz val="11"/>
      <color rgb="FFFF0000"/>
      <name val="Calibri"/>
      <family val="2"/>
    </font>
    <font>
      <b/>
      <sz val="11"/>
      <color rgb="FF008000"/>
      <name val="Calibri"/>
      <family val="2"/>
      <charset val="204"/>
      <scheme val="minor"/>
    </font>
    <font>
      <sz val="11"/>
      <color theme="7" tint="-0.249977111117893"/>
      <name val="Calibri"/>
      <family val="2"/>
      <scheme val="minor"/>
    </font>
    <font>
      <sz val="11"/>
      <color rgb="FF000000"/>
      <name val="Calibri"/>
      <family val="2"/>
      <charset val="204"/>
    </font>
    <font>
      <b/>
      <sz val="12"/>
      <color rgb="FF0F1115"/>
      <name val="Segoe UI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1" xfId="0" applyBorder="1"/>
    <xf numFmtId="0" fontId="1" fillId="0" borderId="0" xfId="0" applyFont="1"/>
    <xf numFmtId="0" fontId="0" fillId="0" borderId="2" xfId="0" applyBorder="1"/>
    <xf numFmtId="0" fontId="2" fillId="0" borderId="0" xfId="0" applyFont="1" applyAlignment="1">
      <alignment vertical="center"/>
    </xf>
    <xf numFmtId="0" fontId="3" fillId="0" borderId="0" xfId="0" applyFont="1"/>
    <xf numFmtId="0" fontId="0" fillId="2" borderId="1" xfId="0" applyFill="1" applyBorder="1"/>
    <xf numFmtId="0" fontId="0" fillId="3" borderId="0" xfId="0" applyFill="1"/>
    <xf numFmtId="2" fontId="0" fillId="0" borderId="1" xfId="0" applyNumberFormat="1" applyBorder="1"/>
    <xf numFmtId="0" fontId="0" fillId="0" borderId="3" xfId="0" applyBorder="1"/>
    <xf numFmtId="0" fontId="0" fillId="0" borderId="4" xfId="0" applyBorder="1"/>
    <xf numFmtId="0" fontId="0" fillId="2" borderId="0" xfId="0" applyFill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4" fillId="0" borderId="0" xfId="0" applyFont="1" applyAlignment="1">
      <alignment vertical="center"/>
    </xf>
    <xf numFmtId="0" fontId="0" fillId="4" borderId="1" xfId="0" applyFill="1" applyBorder="1"/>
    <xf numFmtId="0" fontId="6" fillId="0" borderId="0" xfId="0" applyFont="1"/>
    <xf numFmtId="0" fontId="7" fillId="0" borderId="0" xfId="0" applyFont="1" applyAlignment="1">
      <alignment horizontal="left" vertical="center" indent="1"/>
    </xf>
    <xf numFmtId="0" fontId="0" fillId="5" borderId="3" xfId="0" applyFill="1" applyBorder="1"/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/>
    <xf numFmtId="0" fontId="0" fillId="5" borderId="9" xfId="0" applyFill="1" applyBorder="1"/>
    <xf numFmtId="0" fontId="0" fillId="5" borderId="10" xfId="0" applyFill="1" applyBorder="1"/>
    <xf numFmtId="0" fontId="0" fillId="5" borderId="1" xfId="0" applyFill="1" applyBorder="1"/>
    <xf numFmtId="0" fontId="5" fillId="0" borderId="0" xfId="0" applyFont="1"/>
    <xf numFmtId="1" fontId="0" fillId="0" borderId="0" xfId="0" applyNumberFormat="1"/>
    <xf numFmtId="1" fontId="0" fillId="5" borderId="0" xfId="0" applyNumberFormat="1" applyFill="1"/>
    <xf numFmtId="0" fontId="8" fillId="0" borderId="0" xfId="0" applyFont="1"/>
    <xf numFmtId="0" fontId="10" fillId="0" borderId="0" xfId="0" applyFont="1"/>
    <xf numFmtId="0" fontId="10" fillId="0" borderId="0" xfId="0" applyFont="1" applyAlignment="1">
      <alignment horizontal="right"/>
    </xf>
    <xf numFmtId="2" fontId="0" fillId="0" borderId="0" xfId="0" applyNumberFormat="1"/>
    <xf numFmtId="164" fontId="0" fillId="0" borderId="1" xfId="0" applyNumberFormat="1" applyBorder="1"/>
    <xf numFmtId="0" fontId="0" fillId="0" borderId="0" xfId="0" applyBorder="1"/>
    <xf numFmtId="0" fontId="11" fillId="0" borderId="0" xfId="0" applyFont="1"/>
    <xf numFmtId="0" fontId="12" fillId="0" borderId="0" xfId="0" applyFont="1"/>
    <xf numFmtId="0" fontId="11" fillId="0" borderId="1" xfId="0" applyFont="1" applyBorder="1"/>
    <xf numFmtId="1" fontId="11" fillId="0" borderId="0" xfId="0" applyNumberFormat="1" applyFont="1"/>
    <xf numFmtId="0" fontId="11" fillId="5" borderId="0" xfId="0" applyFont="1" applyFill="1"/>
    <xf numFmtId="1" fontId="11" fillId="5" borderId="0" xfId="0" applyNumberFormat="1" applyFont="1" applyFill="1"/>
    <xf numFmtId="0" fontId="0" fillId="0" borderId="11" xfId="0" applyBorder="1"/>
    <xf numFmtId="0" fontId="13" fillId="0" borderId="0" xfId="0" applyFont="1"/>
    <xf numFmtId="164" fontId="0" fillId="0" borderId="0" xfId="0" applyNumberFormat="1"/>
    <xf numFmtId="165" fontId="0" fillId="0" borderId="0" xfId="0" applyNumberFormat="1"/>
    <xf numFmtId="0" fontId="14" fillId="0" borderId="0" xfId="0" applyFont="1"/>
    <xf numFmtId="0" fontId="16" fillId="0" borderId="0" xfId="0" applyFont="1" applyAlignment="1">
      <alignment vertical="center"/>
    </xf>
  </cellXfs>
  <cellStyles count="1">
    <cellStyle name="Обычный" xfId="0" builtinId="0"/>
  </cellStyles>
  <dxfs count="1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tmp"/><Relationship Id="rId2" Type="http://schemas.openxmlformats.org/officeDocument/2006/relationships/image" Target="../media/image2.tmp"/><Relationship Id="rId1" Type="http://schemas.openxmlformats.org/officeDocument/2006/relationships/image" Target="../media/image1.tmp"/><Relationship Id="rId6" Type="http://schemas.openxmlformats.org/officeDocument/2006/relationships/image" Target="../media/image6.tmp"/><Relationship Id="rId5" Type="http://schemas.openxmlformats.org/officeDocument/2006/relationships/image" Target="../media/image5.tmp"/><Relationship Id="rId4" Type="http://schemas.openxmlformats.org/officeDocument/2006/relationships/image" Target="../media/image4.tmp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tmp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tmp"/><Relationship Id="rId1" Type="http://schemas.openxmlformats.org/officeDocument/2006/relationships/image" Target="../media/image8.tmp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tmp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tmp"/><Relationship Id="rId2" Type="http://schemas.openxmlformats.org/officeDocument/2006/relationships/image" Target="../media/image12.tmp"/><Relationship Id="rId1" Type="http://schemas.openxmlformats.org/officeDocument/2006/relationships/image" Target="../media/image11.tmp"/><Relationship Id="rId6" Type="http://schemas.openxmlformats.org/officeDocument/2006/relationships/image" Target="../media/image16.tmp"/><Relationship Id="rId5" Type="http://schemas.openxmlformats.org/officeDocument/2006/relationships/image" Target="../media/image15.tmp"/><Relationship Id="rId4" Type="http://schemas.openxmlformats.org/officeDocument/2006/relationships/image" Target="../media/image14.tmp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tmp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tmp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tmp"/><Relationship Id="rId7" Type="http://schemas.openxmlformats.org/officeDocument/2006/relationships/image" Target="../media/image24.tmp"/><Relationship Id="rId2" Type="http://schemas.openxmlformats.org/officeDocument/2006/relationships/image" Target="../media/image19.tmp"/><Relationship Id="rId1" Type="http://schemas.openxmlformats.org/officeDocument/2006/relationships/image" Target="../media/image18.tmp"/><Relationship Id="rId6" Type="http://schemas.openxmlformats.org/officeDocument/2006/relationships/image" Target="../media/image23.tmp"/><Relationship Id="rId5" Type="http://schemas.openxmlformats.org/officeDocument/2006/relationships/image" Target="../media/image22.tmp"/><Relationship Id="rId4" Type="http://schemas.openxmlformats.org/officeDocument/2006/relationships/image" Target="../media/image21.tm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176530</xdr:colOff>
      <xdr:row>10</xdr:row>
      <xdr:rowOff>13758</xdr:rowOff>
    </xdr:from>
    <xdr:to>
      <xdr:col>6</xdr:col>
      <xdr:colOff>108261</xdr:colOff>
      <xdr:row>35</xdr:row>
      <xdr:rowOff>158953</xdr:rowOff>
    </xdr:to>
    <xdr:pic>
      <xdr:nvPicPr>
        <xdr:cNvPr id="2" name="Рисунок 1" descr="Вырезка экрана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530" y="1823508"/>
          <a:ext cx="3589331" cy="4736245"/>
        </a:xfrm>
        <a:prstGeom prst="rect">
          <a:avLst/>
        </a:prstGeom>
      </xdr:spPr>
    </xdr:pic>
    <xdr:clientData/>
  </xdr:twoCellAnchor>
  <xdr:twoCellAnchor editAs="oneCell">
    <xdr:from>
      <xdr:col>7</xdr:col>
      <xdr:colOff>114300</xdr:colOff>
      <xdr:row>10</xdr:row>
      <xdr:rowOff>0</xdr:rowOff>
    </xdr:from>
    <xdr:to>
      <xdr:col>15</xdr:col>
      <xdr:colOff>84240</xdr:colOff>
      <xdr:row>20</xdr:row>
      <xdr:rowOff>173533</xdr:rowOff>
    </xdr:to>
    <xdr:pic>
      <xdr:nvPicPr>
        <xdr:cNvPr id="3" name="Рисунок 2" descr="Вырезка экрана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81500" y="1809750"/>
          <a:ext cx="4846740" cy="2049958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</xdr:row>
      <xdr:rowOff>0</xdr:rowOff>
    </xdr:from>
    <xdr:to>
      <xdr:col>14</xdr:col>
      <xdr:colOff>183266</xdr:colOff>
      <xdr:row>30</xdr:row>
      <xdr:rowOff>152400</xdr:rowOff>
    </xdr:to>
    <xdr:pic>
      <xdr:nvPicPr>
        <xdr:cNvPr id="4" name="Рисунок 3" descr="Вырезка экрана"/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b="67270"/>
        <a:stretch/>
      </xdr:blipFill>
      <xdr:spPr>
        <a:xfrm>
          <a:off x="4267200" y="4162425"/>
          <a:ext cx="4450466" cy="1419225"/>
        </a:xfrm>
        <a:prstGeom prst="rect">
          <a:avLst/>
        </a:prstGeom>
      </xdr:spPr>
    </xdr:pic>
    <xdr:clientData/>
  </xdr:twoCellAnchor>
  <xdr:twoCellAnchor editAs="oneCell">
    <xdr:from>
      <xdr:col>7</xdr:col>
      <xdr:colOff>57150</xdr:colOff>
      <xdr:row>31</xdr:row>
      <xdr:rowOff>76200</xdr:rowOff>
    </xdr:from>
    <xdr:to>
      <xdr:col>9</xdr:col>
      <xdr:colOff>583081</xdr:colOff>
      <xdr:row>32</xdr:row>
      <xdr:rowOff>116224</xdr:rowOff>
    </xdr:to>
    <xdr:pic>
      <xdr:nvPicPr>
        <xdr:cNvPr id="5" name="Рисунок 4" descr="Вырезка экрана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24350" y="5686425"/>
          <a:ext cx="1745131" cy="220999"/>
        </a:xfrm>
        <a:prstGeom prst="rect">
          <a:avLst/>
        </a:prstGeom>
      </xdr:spPr>
    </xdr:pic>
    <xdr:clientData/>
  </xdr:twoCellAnchor>
  <xdr:twoCellAnchor editAs="oneCell">
    <xdr:from>
      <xdr:col>0</xdr:col>
      <xdr:colOff>200025</xdr:colOff>
      <xdr:row>39</xdr:row>
      <xdr:rowOff>28575</xdr:rowOff>
    </xdr:from>
    <xdr:to>
      <xdr:col>8</xdr:col>
      <xdr:colOff>467171</xdr:colOff>
      <xdr:row>64</xdr:row>
      <xdr:rowOff>15631</xdr:rowOff>
    </xdr:to>
    <xdr:pic>
      <xdr:nvPicPr>
        <xdr:cNvPr id="6" name="Рисунок 5" descr="Вырезка экрана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7219950"/>
          <a:ext cx="5143946" cy="4511431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39</xdr:row>
      <xdr:rowOff>0</xdr:rowOff>
    </xdr:from>
    <xdr:to>
      <xdr:col>21</xdr:col>
      <xdr:colOff>364551</xdr:colOff>
      <xdr:row>67</xdr:row>
      <xdr:rowOff>69025</xdr:rowOff>
    </xdr:to>
    <xdr:pic>
      <xdr:nvPicPr>
        <xdr:cNvPr id="9" name="Рисунок 8" descr="Вырезка экрана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0" y="7191375"/>
          <a:ext cx="8032176" cy="51363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457200</xdr:colOff>
      <xdr:row>15</xdr:row>
      <xdr:rowOff>160020</xdr:rowOff>
    </xdr:from>
    <xdr:to>
      <xdr:col>28</xdr:col>
      <xdr:colOff>594854</xdr:colOff>
      <xdr:row>31</xdr:row>
      <xdr:rowOff>91688</xdr:rowOff>
    </xdr:to>
    <xdr:pic>
      <xdr:nvPicPr>
        <xdr:cNvPr id="2" name="Рисунок 1" descr="Вырезка экрана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68500" y="2956560"/>
          <a:ext cx="5700254" cy="28577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83820</xdr:rowOff>
        </xdr:from>
        <xdr:to>
          <xdr:col>16</xdr:col>
          <xdr:colOff>342900</xdr:colOff>
          <xdr:row>4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решить слау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9</xdr:col>
      <xdr:colOff>130027</xdr:colOff>
      <xdr:row>19</xdr:row>
      <xdr:rowOff>114342</xdr:rowOff>
    </xdr:to>
    <xdr:pic>
      <xdr:nvPicPr>
        <xdr:cNvPr id="2" name="Рисунок 1" descr="Вырезка экрана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162300"/>
          <a:ext cx="5616427" cy="48010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9</xdr:col>
      <xdr:colOff>290061</xdr:colOff>
      <xdr:row>29</xdr:row>
      <xdr:rowOff>38246</xdr:rowOff>
    </xdr:to>
    <xdr:pic>
      <xdr:nvPicPr>
        <xdr:cNvPr id="3" name="Рисунок 2" descr="Вырезка экрана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710940"/>
          <a:ext cx="5776461" cy="168416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312420</xdr:colOff>
          <xdr:row>1</xdr:row>
          <xdr:rowOff>53340</xdr:rowOff>
        </xdr:from>
        <xdr:to>
          <xdr:col>17</xdr:col>
          <xdr:colOff>525780</xdr:colOff>
          <xdr:row>3</xdr:row>
          <xdr:rowOff>83820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узнать, является ли матрица ПО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15</xdr:row>
      <xdr:rowOff>175260</xdr:rowOff>
    </xdr:from>
    <xdr:to>
      <xdr:col>9</xdr:col>
      <xdr:colOff>76682</xdr:colOff>
      <xdr:row>27</xdr:row>
      <xdr:rowOff>61140</xdr:rowOff>
    </xdr:to>
    <xdr:pic>
      <xdr:nvPicPr>
        <xdr:cNvPr id="2" name="Рисунок 1" descr="Вырезка экрана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918460"/>
          <a:ext cx="5563082" cy="208044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571500</xdr:colOff>
          <xdr:row>1</xdr:row>
          <xdr:rowOff>15240</xdr:rowOff>
        </xdr:from>
        <xdr:to>
          <xdr:col>18</xdr:col>
          <xdr:colOff>220980</xdr:colOff>
          <xdr:row>3</xdr:row>
          <xdr:rowOff>7620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выполнить LDLT разложение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464820</xdr:colOff>
      <xdr:row>0</xdr:row>
      <xdr:rowOff>68580</xdr:rowOff>
    </xdr:from>
    <xdr:to>
      <xdr:col>15</xdr:col>
      <xdr:colOff>343225</xdr:colOff>
      <xdr:row>27</xdr:row>
      <xdr:rowOff>107115</xdr:rowOff>
    </xdr:to>
    <xdr:pic>
      <xdr:nvPicPr>
        <xdr:cNvPr id="2" name="Рисунок 1" descr="Вырезка экрана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1220" y="68580"/>
          <a:ext cx="3749365" cy="5014395"/>
        </a:xfrm>
        <a:prstGeom prst="rect">
          <a:avLst/>
        </a:prstGeom>
      </xdr:spPr>
    </xdr:pic>
    <xdr:clientData/>
  </xdr:twoCellAnchor>
  <xdr:twoCellAnchor editAs="oneCell">
    <xdr:from>
      <xdr:col>16</xdr:col>
      <xdr:colOff>99060</xdr:colOff>
      <xdr:row>0</xdr:row>
      <xdr:rowOff>0</xdr:rowOff>
    </xdr:from>
    <xdr:to>
      <xdr:col>21</xdr:col>
      <xdr:colOff>594667</xdr:colOff>
      <xdr:row>8</xdr:row>
      <xdr:rowOff>129678</xdr:rowOff>
    </xdr:to>
    <xdr:pic>
      <xdr:nvPicPr>
        <xdr:cNvPr id="3" name="Рисунок 2" descr="Вырезка экрана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2660" y="0"/>
          <a:ext cx="3543607" cy="159271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22</xdr:row>
      <xdr:rowOff>0</xdr:rowOff>
    </xdr:from>
    <xdr:to>
      <xdr:col>9</xdr:col>
      <xdr:colOff>137595</xdr:colOff>
      <xdr:row>34</xdr:row>
      <xdr:rowOff>76397</xdr:rowOff>
    </xdr:to>
    <xdr:pic>
      <xdr:nvPicPr>
        <xdr:cNvPr id="5" name="Рисунок 4" descr="Вырезка экрана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4061460"/>
          <a:ext cx="5014395" cy="2270957"/>
        </a:xfrm>
        <a:prstGeom prst="rect">
          <a:avLst/>
        </a:prstGeom>
      </xdr:spPr>
    </xdr:pic>
    <xdr:clientData/>
  </xdr:twoCellAnchor>
  <xdr:twoCellAnchor editAs="oneCell">
    <xdr:from>
      <xdr:col>10</xdr:col>
      <xdr:colOff>38100</xdr:colOff>
      <xdr:row>33</xdr:row>
      <xdr:rowOff>175260</xdr:rowOff>
    </xdr:from>
    <xdr:to>
      <xdr:col>10</xdr:col>
      <xdr:colOff>525822</xdr:colOff>
      <xdr:row>34</xdr:row>
      <xdr:rowOff>167655</xdr:rowOff>
    </xdr:to>
    <xdr:pic>
      <xdr:nvPicPr>
        <xdr:cNvPr id="6" name="Рисунок 5" descr="Вырезка экрана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6248400"/>
          <a:ext cx="487722" cy="175275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43</xdr:row>
      <xdr:rowOff>0</xdr:rowOff>
    </xdr:from>
    <xdr:to>
      <xdr:col>10</xdr:col>
      <xdr:colOff>518205</xdr:colOff>
      <xdr:row>43</xdr:row>
      <xdr:rowOff>160034</xdr:rowOff>
    </xdr:to>
    <xdr:pic>
      <xdr:nvPicPr>
        <xdr:cNvPr id="7" name="Рисунок 6" descr="Вырезка экрана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0" y="7901940"/>
          <a:ext cx="518205" cy="160034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10</xdr:row>
      <xdr:rowOff>0</xdr:rowOff>
    </xdr:from>
    <xdr:to>
      <xdr:col>28</xdr:col>
      <xdr:colOff>99597</xdr:colOff>
      <xdr:row>21</xdr:row>
      <xdr:rowOff>129729</xdr:rowOff>
    </xdr:to>
    <xdr:pic>
      <xdr:nvPicPr>
        <xdr:cNvPr id="4" name="Рисунок 3" descr="Вырезка экрана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86160" y="1828800"/>
          <a:ext cx="6195597" cy="217950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457200</xdr:colOff>
      <xdr:row>15</xdr:row>
      <xdr:rowOff>160020</xdr:rowOff>
    </xdr:from>
    <xdr:to>
      <xdr:col>28</xdr:col>
      <xdr:colOff>594854</xdr:colOff>
      <xdr:row>31</xdr:row>
      <xdr:rowOff>91688</xdr:rowOff>
    </xdr:to>
    <xdr:pic>
      <xdr:nvPicPr>
        <xdr:cNvPr id="2" name="Рисунок 1" descr="Вырезка экрана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68500" y="2956560"/>
          <a:ext cx="5700254" cy="285774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1</xdr:row>
      <xdr:rowOff>0</xdr:rowOff>
    </xdr:from>
    <xdr:to>
      <xdr:col>20</xdr:col>
      <xdr:colOff>221422</xdr:colOff>
      <xdr:row>13</xdr:row>
      <xdr:rowOff>84017</xdr:rowOff>
    </xdr:to>
    <xdr:pic>
      <xdr:nvPicPr>
        <xdr:cNvPr id="2" name="Рисунок 1" descr="Вырезка экрана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182880"/>
          <a:ext cx="5098222" cy="2278577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7620</xdr:colOff>
      <xdr:row>19</xdr:row>
      <xdr:rowOff>30480</xdr:rowOff>
    </xdr:from>
    <xdr:to>
      <xdr:col>15</xdr:col>
      <xdr:colOff>587160</xdr:colOff>
      <xdr:row>30</xdr:row>
      <xdr:rowOff>167826</xdr:rowOff>
    </xdr:to>
    <xdr:pic>
      <xdr:nvPicPr>
        <xdr:cNvPr id="2" name="Рисунок 1" descr="Вырезка экрана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4420" y="3558540"/>
          <a:ext cx="4846740" cy="2149026"/>
        </a:xfrm>
        <a:prstGeom prst="rect">
          <a:avLst/>
        </a:prstGeom>
      </xdr:spPr>
    </xdr:pic>
    <xdr:clientData/>
  </xdr:twoCellAnchor>
  <xdr:twoCellAnchor editAs="oneCell">
    <xdr:from>
      <xdr:col>17</xdr:col>
      <xdr:colOff>784860</xdr:colOff>
      <xdr:row>0</xdr:row>
      <xdr:rowOff>0</xdr:rowOff>
    </xdr:from>
    <xdr:to>
      <xdr:col>23</xdr:col>
      <xdr:colOff>175260</xdr:colOff>
      <xdr:row>8</xdr:row>
      <xdr:rowOff>158940</xdr:rowOff>
    </xdr:to>
    <xdr:pic>
      <xdr:nvPicPr>
        <xdr:cNvPr id="3" name="Рисунок 2" descr="Вырезка экрана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48060" y="0"/>
          <a:ext cx="3261360" cy="1675320"/>
        </a:xfrm>
        <a:prstGeom prst="rect">
          <a:avLst/>
        </a:prstGeom>
      </xdr:spPr>
    </xdr:pic>
    <xdr:clientData/>
  </xdr:twoCellAnchor>
  <xdr:twoCellAnchor editAs="oneCell">
    <xdr:from>
      <xdr:col>10</xdr:col>
      <xdr:colOff>556261</xdr:colOff>
      <xdr:row>1</xdr:row>
      <xdr:rowOff>38100</xdr:rowOff>
    </xdr:from>
    <xdr:to>
      <xdr:col>15</xdr:col>
      <xdr:colOff>22861</xdr:colOff>
      <xdr:row>8</xdr:row>
      <xdr:rowOff>13063</xdr:rowOff>
    </xdr:to>
    <xdr:pic>
      <xdr:nvPicPr>
        <xdr:cNvPr id="4" name="Рисунок 3" descr="Вырезка экрана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52261" y="228600"/>
          <a:ext cx="2514600" cy="1300843"/>
        </a:xfrm>
        <a:prstGeom prst="rect">
          <a:avLst/>
        </a:prstGeom>
      </xdr:spPr>
    </xdr:pic>
    <xdr:clientData/>
  </xdr:twoCellAnchor>
  <xdr:twoCellAnchor editAs="oneCell">
    <xdr:from>
      <xdr:col>10</xdr:col>
      <xdr:colOff>220980</xdr:colOff>
      <xdr:row>8</xdr:row>
      <xdr:rowOff>152400</xdr:rowOff>
    </xdr:from>
    <xdr:to>
      <xdr:col>13</xdr:col>
      <xdr:colOff>573319</xdr:colOff>
      <xdr:row>12</xdr:row>
      <xdr:rowOff>7902</xdr:rowOff>
    </xdr:to>
    <xdr:pic>
      <xdr:nvPicPr>
        <xdr:cNvPr id="5" name="Рисунок 4" descr="Вырезка экрана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16980" y="1668780"/>
          <a:ext cx="2181139" cy="587022"/>
        </a:xfrm>
        <a:prstGeom prst="rect">
          <a:avLst/>
        </a:prstGeom>
      </xdr:spPr>
    </xdr:pic>
    <xdr:clientData/>
  </xdr:twoCellAnchor>
  <xdr:twoCellAnchor editAs="oneCell">
    <xdr:from>
      <xdr:col>17</xdr:col>
      <xdr:colOff>251460</xdr:colOff>
      <xdr:row>9</xdr:row>
      <xdr:rowOff>114300</xdr:rowOff>
    </xdr:from>
    <xdr:to>
      <xdr:col>25</xdr:col>
      <xdr:colOff>663435</xdr:colOff>
      <xdr:row>19</xdr:row>
      <xdr:rowOff>53493</xdr:rowOff>
    </xdr:to>
    <xdr:pic>
      <xdr:nvPicPr>
        <xdr:cNvPr id="6" name="Рисунок 5" descr="Вырезка экрана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14660" y="1813560"/>
          <a:ext cx="5715495" cy="1767993"/>
        </a:xfrm>
        <a:prstGeom prst="rect">
          <a:avLst/>
        </a:prstGeom>
      </xdr:spPr>
    </xdr:pic>
    <xdr:clientData/>
  </xdr:twoCellAnchor>
  <xdr:twoCellAnchor editAs="oneCell">
    <xdr:from>
      <xdr:col>0</xdr:col>
      <xdr:colOff>182880</xdr:colOff>
      <xdr:row>54</xdr:row>
      <xdr:rowOff>175260</xdr:rowOff>
    </xdr:from>
    <xdr:to>
      <xdr:col>10</xdr:col>
      <xdr:colOff>38616</xdr:colOff>
      <xdr:row>75</xdr:row>
      <xdr:rowOff>68904</xdr:rowOff>
    </xdr:to>
    <xdr:pic>
      <xdr:nvPicPr>
        <xdr:cNvPr id="7" name="Рисунок 6" descr="Вырезка экрана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" y="10111740"/>
          <a:ext cx="5951736" cy="3734124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46</xdr:row>
      <xdr:rowOff>0</xdr:rowOff>
    </xdr:from>
    <xdr:to>
      <xdr:col>22</xdr:col>
      <xdr:colOff>297700</xdr:colOff>
      <xdr:row>59</xdr:row>
      <xdr:rowOff>167861</xdr:rowOff>
    </xdr:to>
    <xdr:pic>
      <xdr:nvPicPr>
        <xdr:cNvPr id="8" name="Рисунок 7" descr="Вырезка экрана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24800" y="8473440"/>
          <a:ext cx="5997460" cy="254530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F40"/>
  <sheetViews>
    <sheetView topLeftCell="A7" zoomScale="80" zoomScaleNormal="80" workbookViewId="0">
      <selection activeCell="W49" sqref="W49"/>
    </sheetView>
  </sheetViews>
  <sheetFormatPr defaultRowHeight="14.4"/>
  <cols>
    <col min="16" max="16" width="12.6640625" bestFit="1" customWidth="1"/>
    <col min="18" max="18" width="10" bestFit="1" customWidth="1"/>
    <col min="19" max="21" width="12" bestFit="1" customWidth="1"/>
  </cols>
  <sheetData>
    <row r="1" spans="1:29">
      <c r="A1" s="1">
        <v>741.75824175824187</v>
      </c>
      <c r="B1" s="1">
        <v>0</v>
      </c>
      <c r="C1" s="1">
        <v>0</v>
      </c>
      <c r="D1" s="1">
        <v>0</v>
      </c>
      <c r="E1" s="1">
        <v>0</v>
      </c>
      <c r="F1" s="1">
        <v>0</v>
      </c>
      <c r="G1" s="1">
        <v>0</v>
      </c>
      <c r="H1" s="1">
        <v>0</v>
      </c>
      <c r="I1">
        <v>0</v>
      </c>
      <c r="J1" s="1">
        <v>0</v>
      </c>
      <c r="L1">
        <v>0</v>
      </c>
      <c r="N1" s="1">
        <f t="array" ref="N1:N8">J1:J8-MMULT(A1:H8,L1:L8)</f>
        <v>0</v>
      </c>
      <c r="P1" s="8">
        <f>N1</f>
        <v>0</v>
      </c>
      <c r="R1" s="3">
        <f t="array" ref="R1">SUMPRODUCT(N1:N8, N1:N8)</f>
        <v>1040000</v>
      </c>
      <c r="S1" s="1">
        <f t="array" ref="S1:S8">MMULT(A1:H8, P1:P8)</f>
        <v>0</v>
      </c>
      <c r="T1" s="1">
        <f>SUMPRODUCT(P1:P8, S1:S8)</f>
        <v>848351648.35164857</v>
      </c>
      <c r="U1" s="3">
        <f t="array" ref="U1">R1/T1</f>
        <v>1.2259067357512951E-3</v>
      </c>
      <c r="V1" s="6">
        <f t="array" ref="V1">L1+$U$1*P1</f>
        <v>0</v>
      </c>
      <c r="W1" s="1">
        <f t="array" ref="W1">N1-$U$1*S1</f>
        <v>0</v>
      </c>
      <c r="X1" s="3">
        <f>SUMPRODUCT(W1:W8, W1:W8) / R1</f>
        <v>0.39147359660662018</v>
      </c>
      <c r="Y1" s="1">
        <f t="array" ref="Y1:Y8">W1:W8 + X1*P1:P8</f>
        <v>0</v>
      </c>
      <c r="Z1" s="1">
        <f t="array" ref="Z1">SQRT(SUMSQ(N1:N8))</f>
        <v>1019.803902718557</v>
      </c>
      <c r="AB1" s="1">
        <f t="array" ref="AB1:AB8">J1:J8-MMULT(A1:H8,V1:V8)</f>
        <v>0</v>
      </c>
      <c r="AC1" s="1">
        <f t="array" ref="AC1">SQRT(SUMSQ(AB1:AB8))</f>
        <v>638.06938531078652</v>
      </c>
    </row>
    <row r="2" spans="1:29">
      <c r="A2" s="1">
        <v>0</v>
      </c>
      <c r="B2" s="1">
        <v>741.75824175824187</v>
      </c>
      <c r="C2" s="1">
        <v>0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>
        <v>0</v>
      </c>
      <c r="J2" s="1">
        <v>0</v>
      </c>
      <c r="L2">
        <v>0</v>
      </c>
      <c r="N2" s="1">
        <v>0</v>
      </c>
      <c r="P2" s="8">
        <f t="shared" ref="P2:P8" si="0">N2</f>
        <v>0</v>
      </c>
      <c r="R2" s="2" t="s">
        <v>5</v>
      </c>
      <c r="S2" s="1">
        <v>0</v>
      </c>
      <c r="T2" s="2" t="s">
        <v>7</v>
      </c>
      <c r="U2" s="2" t="s">
        <v>8</v>
      </c>
      <c r="V2" s="6">
        <f t="shared" ref="V2:V8" si="1">L2+$U$1*P2</f>
        <v>0</v>
      </c>
      <c r="W2" s="1">
        <f t="shared" ref="W2:W8" si="2">N2-$U$1*S2</f>
        <v>0</v>
      </c>
      <c r="X2" s="2" t="s">
        <v>10</v>
      </c>
      <c r="Y2" s="1">
        <v>0</v>
      </c>
      <c r="Z2" s="2" t="s">
        <v>27</v>
      </c>
      <c r="AB2" s="1">
        <v>0</v>
      </c>
    </row>
    <row r="3" spans="1:29">
      <c r="A3" s="1">
        <v>0</v>
      </c>
      <c r="B3" s="1">
        <v>0</v>
      </c>
      <c r="C3" s="1">
        <v>741.75824175824187</v>
      </c>
      <c r="D3" s="1">
        <v>0</v>
      </c>
      <c r="E3" s="1">
        <v>-192.30769230769232</v>
      </c>
      <c r="F3" s="1">
        <v>-192.30769230769232</v>
      </c>
      <c r="G3" s="1">
        <v>0</v>
      </c>
      <c r="H3" s="1">
        <v>357.14285714285717</v>
      </c>
      <c r="I3">
        <v>0</v>
      </c>
      <c r="J3" s="1">
        <v>0</v>
      </c>
      <c r="L3">
        <v>0</v>
      </c>
      <c r="N3" s="1">
        <v>0</v>
      </c>
      <c r="P3" s="8">
        <f t="shared" si="0"/>
        <v>0</v>
      </c>
      <c r="R3" s="5" t="s">
        <v>20</v>
      </c>
      <c r="S3" s="1">
        <v>-395604.3956043956</v>
      </c>
      <c r="V3" s="6">
        <f t="shared" si="1"/>
        <v>0</v>
      </c>
      <c r="W3" s="1">
        <f t="shared" si="2"/>
        <v>484.97409326424861</v>
      </c>
      <c r="Y3" s="1">
        <v>484.97409326424861</v>
      </c>
      <c r="AB3" s="1">
        <v>484.97409326424867</v>
      </c>
    </row>
    <row r="4" spans="1:29">
      <c r="A4" s="1">
        <v>0</v>
      </c>
      <c r="B4" s="1">
        <v>0</v>
      </c>
      <c r="C4" s="1">
        <v>0</v>
      </c>
      <c r="D4" s="1">
        <v>741.75824175824187</v>
      </c>
      <c r="E4" s="1">
        <v>0</v>
      </c>
      <c r="F4" s="1">
        <v>0</v>
      </c>
      <c r="G4" s="1">
        <v>0</v>
      </c>
      <c r="H4" s="1">
        <v>0</v>
      </c>
      <c r="I4">
        <v>5.6843418860808015E-14</v>
      </c>
      <c r="J4" s="1">
        <v>0</v>
      </c>
      <c r="L4">
        <v>0</v>
      </c>
      <c r="N4" s="1">
        <v>0</v>
      </c>
      <c r="P4" s="8">
        <f t="shared" si="0"/>
        <v>0</v>
      </c>
      <c r="S4" s="1">
        <v>0</v>
      </c>
      <c r="V4" s="6">
        <f t="shared" si="1"/>
        <v>0</v>
      </c>
      <c r="W4" s="1">
        <f t="shared" si="2"/>
        <v>0</v>
      </c>
      <c r="Y4" s="1">
        <v>0</v>
      </c>
      <c r="AB4" s="1">
        <v>0</v>
      </c>
    </row>
    <row r="5" spans="1:29">
      <c r="A5" s="1">
        <v>0</v>
      </c>
      <c r="B5" s="1">
        <v>0</v>
      </c>
      <c r="C5" s="1">
        <v>-192.30769230769232</v>
      </c>
      <c r="D5" s="1">
        <v>0</v>
      </c>
      <c r="E5" s="1">
        <v>741.75824175824187</v>
      </c>
      <c r="F5" s="1">
        <v>357.14285714285717</v>
      </c>
      <c r="G5" s="1">
        <v>-549.45054945054949</v>
      </c>
      <c r="H5" s="1">
        <v>-192.30769230769232</v>
      </c>
      <c r="I5">
        <v>0</v>
      </c>
      <c r="J5" s="1">
        <v>200</v>
      </c>
      <c r="L5">
        <v>0</v>
      </c>
      <c r="N5" s="1">
        <v>200</v>
      </c>
      <c r="P5" s="8">
        <f t="shared" si="0"/>
        <v>200</v>
      </c>
      <c r="S5" s="1">
        <v>340659.34065934073</v>
      </c>
      <c r="V5" s="6">
        <f t="shared" si="1"/>
        <v>0.24518134715025902</v>
      </c>
      <c r="W5" s="1">
        <f t="shared" si="2"/>
        <v>-217.61658031088081</v>
      </c>
      <c r="Y5" s="1">
        <v>-139.32186098955677</v>
      </c>
      <c r="AB5" s="1">
        <v>-217.61658031088075</v>
      </c>
    </row>
    <row r="6" spans="1:29">
      <c r="A6" s="1">
        <v>0</v>
      </c>
      <c r="B6" s="1">
        <v>0</v>
      </c>
      <c r="C6" s="1">
        <v>-192.30769230769232</v>
      </c>
      <c r="D6" s="1">
        <v>0</v>
      </c>
      <c r="E6" s="1">
        <v>357.14285714285717</v>
      </c>
      <c r="F6" s="1">
        <v>741.75824175824187</v>
      </c>
      <c r="G6" s="1">
        <v>-164.83516483516485</v>
      </c>
      <c r="H6" s="1">
        <v>-192.30769230769232</v>
      </c>
      <c r="I6">
        <v>0</v>
      </c>
      <c r="J6" s="1">
        <v>0</v>
      </c>
      <c r="L6">
        <v>0</v>
      </c>
      <c r="N6" s="1">
        <v>0</v>
      </c>
      <c r="P6" s="8">
        <f t="shared" si="0"/>
        <v>0</v>
      </c>
      <c r="S6" s="1">
        <v>263736.26373626373</v>
      </c>
      <c r="V6" s="6">
        <f t="shared" si="1"/>
        <v>0</v>
      </c>
      <c r="W6" s="1">
        <f t="shared" si="2"/>
        <v>-323.31606217616576</v>
      </c>
      <c r="Y6" s="1">
        <v>-323.31606217616576</v>
      </c>
      <c r="AB6" s="1">
        <v>-323.31606217616576</v>
      </c>
    </row>
    <row r="7" spans="1:29">
      <c r="A7" s="1">
        <v>0</v>
      </c>
      <c r="B7" s="1">
        <v>0</v>
      </c>
      <c r="C7" s="1">
        <v>0</v>
      </c>
      <c r="D7" s="1">
        <v>0</v>
      </c>
      <c r="E7" s="1">
        <v>-549.45054945054949</v>
      </c>
      <c r="F7" s="1">
        <v>-164.83516483516485</v>
      </c>
      <c r="G7" s="1">
        <v>741.75824175824187</v>
      </c>
      <c r="H7" s="1">
        <v>0</v>
      </c>
      <c r="I7">
        <v>1.1368683772161603E-13</v>
      </c>
      <c r="J7" s="1">
        <v>0</v>
      </c>
      <c r="L7">
        <v>0</v>
      </c>
      <c r="N7" s="1">
        <v>0</v>
      </c>
      <c r="P7" s="8">
        <f t="shared" si="0"/>
        <v>0</v>
      </c>
      <c r="S7" s="1">
        <v>-109890.1098901099</v>
      </c>
      <c r="V7" s="6">
        <f t="shared" si="1"/>
        <v>0</v>
      </c>
      <c r="W7" s="1">
        <f t="shared" si="2"/>
        <v>134.71502590673575</v>
      </c>
      <c r="Y7" s="1">
        <v>134.71502590673575</v>
      </c>
      <c r="AB7" s="1">
        <v>134.71502590673575</v>
      </c>
    </row>
    <row r="8" spans="1:29">
      <c r="A8" s="1">
        <v>0</v>
      </c>
      <c r="B8" s="1">
        <v>0</v>
      </c>
      <c r="C8" s="1">
        <v>357.14285714285717</v>
      </c>
      <c r="D8" s="1">
        <v>0</v>
      </c>
      <c r="E8" s="1">
        <v>-192.30769230769232</v>
      </c>
      <c r="F8" s="1">
        <v>-192.30769230769232</v>
      </c>
      <c r="G8" s="1">
        <v>0</v>
      </c>
      <c r="H8" s="1">
        <v>741.75824175824187</v>
      </c>
      <c r="I8">
        <v>0</v>
      </c>
      <c r="J8" s="1">
        <v>-1000</v>
      </c>
      <c r="L8">
        <v>0</v>
      </c>
      <c r="N8" s="1">
        <v>-1000</v>
      </c>
      <c r="P8" s="8">
        <f t="shared" si="0"/>
        <v>-1000</v>
      </c>
      <c r="S8" s="1">
        <v>-780219.7802197804</v>
      </c>
      <c r="V8" s="6">
        <f t="shared" si="1"/>
        <v>-1.2259067357512952</v>
      </c>
      <c r="W8" s="1">
        <f t="shared" si="2"/>
        <v>-43.52331606217615</v>
      </c>
      <c r="Y8" s="1">
        <v>-434.99691266879631</v>
      </c>
      <c r="AB8" s="1">
        <v>-43.52331606217615</v>
      </c>
    </row>
    <row r="9" spans="1:29">
      <c r="A9" t="s">
        <v>0</v>
      </c>
      <c r="J9" t="s">
        <v>1</v>
      </c>
      <c r="L9" s="7" t="s">
        <v>2</v>
      </c>
      <c r="N9" t="s">
        <v>3</v>
      </c>
      <c r="P9" t="s">
        <v>4</v>
      </c>
      <c r="S9" s="2" t="s">
        <v>6</v>
      </c>
      <c r="V9" s="2" t="s">
        <v>9</v>
      </c>
      <c r="W9" s="2" t="s">
        <v>25</v>
      </c>
      <c r="Y9" s="2" t="s">
        <v>11</v>
      </c>
      <c r="AB9" t="s">
        <v>57</v>
      </c>
      <c r="AC9" s="2" t="s">
        <v>58</v>
      </c>
    </row>
    <row r="20" spans="17:32" ht="19.8">
      <c r="Q20" s="4" t="s">
        <v>12</v>
      </c>
    </row>
    <row r="21" spans="17:32">
      <c r="Q21" t="s">
        <v>13</v>
      </c>
    </row>
    <row r="22" spans="17:32">
      <c r="Q22" t="s">
        <v>14</v>
      </c>
    </row>
    <row r="23" spans="17:32">
      <c r="Q23" t="s">
        <v>15</v>
      </c>
    </row>
    <row r="24" spans="17:32">
      <c r="Q24" t="s">
        <v>16</v>
      </c>
    </row>
    <row r="25" spans="17:32">
      <c r="Q25" t="s">
        <v>17</v>
      </c>
    </row>
    <row r="26" spans="17:32">
      <c r="Q26" t="s">
        <v>18</v>
      </c>
    </row>
    <row r="27" spans="17:32">
      <c r="Q27" t="s">
        <v>19</v>
      </c>
    </row>
    <row r="28" spans="17:32">
      <c r="S28" t="s">
        <v>84</v>
      </c>
      <c r="T28" t="s">
        <v>84</v>
      </c>
      <c r="W28" t="s">
        <v>61</v>
      </c>
      <c r="Z28" s="40" t="s">
        <v>61</v>
      </c>
      <c r="AA28" s="40"/>
      <c r="AB28" s="40"/>
      <c r="AC28" t="s">
        <v>79</v>
      </c>
      <c r="AF28" t="s">
        <v>181</v>
      </c>
    </row>
    <row r="29" spans="17:32">
      <c r="Q29" t="s">
        <v>26</v>
      </c>
      <c r="S29" t="s">
        <v>85</v>
      </c>
      <c r="T29" t="s">
        <v>60</v>
      </c>
      <c r="U29" s="31" t="s">
        <v>67</v>
      </c>
      <c r="V29" s="31" t="s">
        <v>78</v>
      </c>
      <c r="W29" t="s">
        <v>33</v>
      </c>
      <c r="X29" s="31" t="s">
        <v>67</v>
      </c>
      <c r="Y29" s="31" t="s">
        <v>78</v>
      </c>
      <c r="Z29" s="40" t="s">
        <v>49</v>
      </c>
      <c r="AA29" s="41" t="s">
        <v>67</v>
      </c>
      <c r="AB29" s="41" t="s">
        <v>78</v>
      </c>
      <c r="AD29" s="31" t="s">
        <v>67</v>
      </c>
      <c r="AE29" s="31" t="s">
        <v>78</v>
      </c>
      <c r="AF29" t="s">
        <v>182</v>
      </c>
    </row>
    <row r="30" spans="17:32">
      <c r="Q30" s="1">
        <v>0</v>
      </c>
      <c r="S30">
        <v>0</v>
      </c>
      <c r="T30" s="1">
        <v>0</v>
      </c>
      <c r="U30">
        <f>Q30-T30</f>
        <v>0</v>
      </c>
      <c r="V30" s="32" t="e">
        <f>ABS(U30/Q30)*100</f>
        <v>#DIV/0!</v>
      </c>
      <c r="W30" s="19">
        <v>0</v>
      </c>
      <c r="X30">
        <f>Q30-W30</f>
        <v>0</v>
      </c>
      <c r="Y30" s="32" t="e">
        <f>ABS(X30/Q30)*100</f>
        <v>#DIV/0!</v>
      </c>
      <c r="Z30" s="42">
        <v>0</v>
      </c>
      <c r="AA30" s="40">
        <f>Q30-Z30</f>
        <v>0</v>
      </c>
      <c r="AB30" s="43" t="e">
        <f>ABS(AA30/Q30)*100</f>
        <v>#DIV/0!</v>
      </c>
      <c r="AC30">
        <v>0</v>
      </c>
      <c r="AD30">
        <f>AC30-Q30</f>
        <v>0</v>
      </c>
      <c r="AE30" s="37" t="e">
        <f>ABS(AD30/Q30)*100</f>
        <v>#DIV/0!</v>
      </c>
    </row>
    <row r="31" spans="17:32">
      <c r="Q31" s="1">
        <f>'точное решение'!L2</f>
        <v>0</v>
      </c>
      <c r="S31">
        <v>0</v>
      </c>
      <c r="T31" s="1">
        <v>0</v>
      </c>
      <c r="U31">
        <f t="shared" ref="U31:U37" si="3">Q31-T31</f>
        <v>0</v>
      </c>
      <c r="V31" s="32" t="e">
        <f t="shared" ref="V31:V37" si="4">ABS(U31/Q31)*100</f>
        <v>#DIV/0!</v>
      </c>
      <c r="W31" s="19">
        <v>0</v>
      </c>
      <c r="X31">
        <f t="shared" ref="X31:X37" si="5">Q31-W31</f>
        <v>0</v>
      </c>
      <c r="Y31" s="32" t="e">
        <f t="shared" ref="Y31:Y37" si="6">ABS(X31/Q31)*100</f>
        <v>#DIV/0!</v>
      </c>
      <c r="Z31" s="42">
        <v>0</v>
      </c>
      <c r="AA31" s="40">
        <f t="shared" ref="AA31:AA37" si="7">Q31-Z31</f>
        <v>0</v>
      </c>
      <c r="AB31" s="43" t="e">
        <f t="shared" ref="AB31:AB37" si="8">ABS(AA31/Q31)*100</f>
        <v>#DIV/0!</v>
      </c>
      <c r="AC31">
        <v>0</v>
      </c>
      <c r="AD31">
        <f t="shared" ref="AD31:AD37" si="9">AC31-Q31</f>
        <v>0</v>
      </c>
      <c r="AE31" s="37" t="e">
        <f t="shared" ref="AE31:AE36" si="10">ABS(AD31/Q31)*100</f>
        <v>#DIV/0!</v>
      </c>
    </row>
    <row r="32" spans="17:32">
      <c r="Q32" s="1">
        <f>'точное решение'!L3</f>
        <v>0.83799999999999975</v>
      </c>
      <c r="S32">
        <v>0.83787140169131924</v>
      </c>
      <c r="T32" s="1">
        <v>0.80037154025645929</v>
      </c>
      <c r="U32">
        <f t="shared" si="3"/>
        <v>3.7628459743540454E-2</v>
      </c>
      <c r="V32" s="32">
        <f t="shared" si="4"/>
        <v>4.4902696591337072</v>
      </c>
      <c r="W32" s="19">
        <v>0.8003715402564594</v>
      </c>
      <c r="X32">
        <f t="shared" si="5"/>
        <v>3.7628459743540343E-2</v>
      </c>
      <c r="Y32" s="32">
        <f>ABS(X32/Q32)*100</f>
        <v>4.4902696591336939</v>
      </c>
      <c r="Z32" s="42">
        <v>0.94533999369083455</v>
      </c>
      <c r="AA32" s="40">
        <f t="shared" si="7"/>
        <v>-0.1073399936908348</v>
      </c>
      <c r="AB32" s="43">
        <f t="shared" si="8"/>
        <v>12.809068459526829</v>
      </c>
      <c r="AC32">
        <v>0.83793105809173141</v>
      </c>
      <c r="AD32">
        <f t="shared" si="9"/>
        <v>-6.8941908268338459E-5</v>
      </c>
      <c r="AE32" s="37">
        <f t="shared" si="10"/>
        <v>8.2269580272480297E-3</v>
      </c>
    </row>
    <row r="33" spans="2:31">
      <c r="Q33" s="1">
        <f>'точное решение'!L4</f>
        <v>0</v>
      </c>
      <c r="S33">
        <v>0</v>
      </c>
      <c r="T33" s="1">
        <v>0</v>
      </c>
      <c r="U33">
        <f t="shared" si="3"/>
        <v>0</v>
      </c>
      <c r="V33" s="32" t="e">
        <f t="shared" si="4"/>
        <v>#DIV/0!</v>
      </c>
      <c r="W33" s="19">
        <v>0</v>
      </c>
      <c r="X33">
        <f t="shared" si="5"/>
        <v>0</v>
      </c>
      <c r="Y33" s="32" t="e">
        <f t="shared" si="6"/>
        <v>#DIV/0!</v>
      </c>
      <c r="Z33" s="42">
        <v>0</v>
      </c>
      <c r="AA33" s="40">
        <f t="shared" si="7"/>
        <v>0</v>
      </c>
      <c r="AB33" s="43" t="e">
        <f t="shared" si="8"/>
        <v>#DIV/0!</v>
      </c>
      <c r="AC33">
        <v>0</v>
      </c>
      <c r="AD33">
        <f t="shared" si="9"/>
        <v>0</v>
      </c>
      <c r="AE33" s="37" t="e">
        <f t="shared" si="10"/>
        <v>#DIV/0!</v>
      </c>
    </row>
    <row r="34" spans="2:31">
      <c r="Q34" s="1">
        <f>'точное решение'!L5</f>
        <v>0.31800000000000006</v>
      </c>
      <c r="S34">
        <v>0.23866523493131084</v>
      </c>
      <c r="T34" s="1">
        <v>0.20831569913302622</v>
      </c>
      <c r="U34">
        <f t="shared" si="3"/>
        <v>0.10968430086697384</v>
      </c>
      <c r="V34" s="32">
        <f t="shared" si="4"/>
        <v>34.491918511626984</v>
      </c>
      <c r="W34" s="19">
        <v>0.20831569913302614</v>
      </c>
      <c r="X34">
        <f t="shared" si="5"/>
        <v>0.10968430086697392</v>
      </c>
      <c r="Y34" s="32">
        <f t="shared" si="6"/>
        <v>34.491918511627013</v>
      </c>
      <c r="Z34" s="42">
        <v>0.34522672595551135</v>
      </c>
      <c r="AA34" s="40">
        <f t="shared" si="7"/>
        <v>-2.7226725955511288E-2</v>
      </c>
      <c r="AB34" s="43">
        <f t="shared" si="8"/>
        <v>8.5618635080224159</v>
      </c>
      <c r="AC34">
        <v>0.31818575069107186</v>
      </c>
      <c r="AD34">
        <f t="shared" si="9"/>
        <v>1.8575069107179543E-4</v>
      </c>
      <c r="AE34" s="37">
        <f t="shared" si="10"/>
        <v>5.8412167003709235E-2</v>
      </c>
    </row>
    <row r="35" spans="2:31">
      <c r="Q35" s="1">
        <f>'точное решение'!L6</f>
        <v>-0.35799999999999998</v>
      </c>
      <c r="S35">
        <v>-0.32167702406718951</v>
      </c>
      <c r="T35" s="1">
        <v>-0.37345333761090899</v>
      </c>
      <c r="U35">
        <f t="shared" si="3"/>
        <v>1.5453337610909001E-2</v>
      </c>
      <c r="V35" s="32">
        <f t="shared" si="4"/>
        <v>4.3165747516505597</v>
      </c>
      <c r="W35" s="19">
        <v>-0.37345333761090899</v>
      </c>
      <c r="X35">
        <f t="shared" si="5"/>
        <v>1.5453337610909001E-2</v>
      </c>
      <c r="Y35" s="32">
        <f t="shared" si="6"/>
        <v>4.3165747516505597</v>
      </c>
      <c r="Z35" s="42">
        <v>-0.36481861201067212</v>
      </c>
      <c r="AA35" s="40">
        <f t="shared" si="7"/>
        <v>6.8186120106721315E-3</v>
      </c>
      <c r="AB35" s="43">
        <f t="shared" si="8"/>
        <v>1.9046402264447295</v>
      </c>
      <c r="AC35">
        <v>-0.35800759639952184</v>
      </c>
      <c r="AD35">
        <f t="shared" si="9"/>
        <v>-7.5963995218586433E-6</v>
      </c>
      <c r="AE35" s="37">
        <f t="shared" si="10"/>
        <v>2.1218993077817441E-3</v>
      </c>
    </row>
    <row r="36" spans="2:31">
      <c r="Q36" s="1">
        <f>'точное решение'!L7</f>
        <v>0.15600000000000014</v>
      </c>
      <c r="S36">
        <v>9.8796140654675194E-2</v>
      </c>
      <c r="T36" s="1">
        <v>3.3625935250457484E-2</v>
      </c>
      <c r="U36">
        <f t="shared" si="3"/>
        <v>0.12237406474954265</v>
      </c>
      <c r="V36" s="32">
        <f t="shared" si="4"/>
        <v>78.444913300988816</v>
      </c>
      <c r="W36" s="19">
        <v>3.3625935250457512E-2</v>
      </c>
      <c r="X36">
        <f t="shared" si="5"/>
        <v>0.12237406474954263</v>
      </c>
      <c r="Y36" s="32">
        <f t="shared" si="6"/>
        <v>78.444913300988787</v>
      </c>
      <c r="Z36" s="42">
        <v>0.17465269803874794</v>
      </c>
      <c r="AA36" s="40">
        <f t="shared" si="7"/>
        <v>-1.8652698038747806E-2</v>
      </c>
      <c r="AB36" s="43">
        <f t="shared" si="8"/>
        <v>11.956857717146018</v>
      </c>
      <c r="AC36">
        <v>0.15616981160636645</v>
      </c>
      <c r="AD36">
        <f t="shared" si="9"/>
        <v>1.6981160636631021E-4</v>
      </c>
      <c r="AE36" s="37">
        <f t="shared" si="10"/>
        <v>0.10885359382455773</v>
      </c>
    </row>
    <row r="37" spans="2:31" ht="19.2">
      <c r="B37" s="51" t="s">
        <v>239</v>
      </c>
      <c r="K37" s="51" t="s">
        <v>240</v>
      </c>
      <c r="Q37" s="1">
        <f>'точное решение'!L8</f>
        <v>-1.7619999999999996</v>
      </c>
      <c r="S37">
        <v>-1.7762388473545936</v>
      </c>
      <c r="T37" s="1">
        <v>-1.7787989891728888</v>
      </c>
      <c r="U37">
        <f t="shared" si="3"/>
        <v>1.6798989172889245E-2</v>
      </c>
      <c r="V37" s="32">
        <f t="shared" si="4"/>
        <v>0.95340460686091089</v>
      </c>
      <c r="W37" s="19">
        <v>-1.7787989891728888</v>
      </c>
      <c r="X37">
        <f t="shared" si="5"/>
        <v>1.6798989172889245E-2</v>
      </c>
      <c r="Y37" s="32">
        <f t="shared" si="6"/>
        <v>0.95340460686091089</v>
      </c>
      <c r="Z37" s="42">
        <v>-2.0385706586905088</v>
      </c>
      <c r="AA37" s="40">
        <f t="shared" si="7"/>
        <v>0.27657065869050923</v>
      </c>
      <c r="AB37" s="43">
        <f t="shared" si="8"/>
        <v>15.696405147020959</v>
      </c>
      <c r="AC37">
        <v>-1.7617611043774712</v>
      </c>
      <c r="AD37">
        <f t="shared" si="9"/>
        <v>2.3889562252832341E-4</v>
      </c>
      <c r="AE37" s="37">
        <f>ABS(AD37/Q37)*100</f>
        <v>1.3558207861993386E-2</v>
      </c>
    </row>
    <row r="38" spans="2:31">
      <c r="P38" t="s">
        <v>62</v>
      </c>
      <c r="T38" s="30">
        <v>17.071487823624125</v>
      </c>
      <c r="V38" s="33">
        <f>(V37+V36+V35+V34+V32)/5</f>
        <v>24.539416166052195</v>
      </c>
      <c r="W38" s="30">
        <v>2.3014894695552651E-2</v>
      </c>
      <c r="Z38" s="44">
        <v>180.14909659608588</v>
      </c>
      <c r="AA38" s="40"/>
      <c r="AB38" s="45">
        <f>SUM(AB32+AB34+AB35+AB36+AB37)/5</f>
        <v>10.185767011632191</v>
      </c>
    </row>
    <row r="40" spans="2:31">
      <c r="Z40" t="s">
        <v>93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1"/>
  <dimension ref="A1:AN89"/>
  <sheetViews>
    <sheetView tabSelected="1" workbookViewId="0">
      <selection activeCell="N8" sqref="N8"/>
    </sheetView>
  </sheetViews>
  <sheetFormatPr defaultRowHeight="14.4"/>
  <cols>
    <col min="1" max="1" width="34" bestFit="1" customWidth="1"/>
    <col min="2" max="2" width="12.44140625" bestFit="1" customWidth="1"/>
    <col min="3" max="3" width="13.5546875" bestFit="1" customWidth="1"/>
    <col min="4" max="6" width="10.44140625" bestFit="1" customWidth="1"/>
    <col min="7" max="7" width="9.21875" bestFit="1" customWidth="1"/>
    <col min="23" max="23" width="9.109375" bestFit="1" customWidth="1"/>
    <col min="25" max="28" width="9.109375" bestFit="1" customWidth="1"/>
  </cols>
  <sheetData>
    <row r="1" spans="1:40" ht="15" thickBot="1">
      <c r="A1" s="9">
        <v>741.75824175824187</v>
      </c>
      <c r="B1" s="10">
        <v>0</v>
      </c>
      <c r="C1" s="10">
        <v>0</v>
      </c>
      <c r="D1" s="10">
        <v>0</v>
      </c>
      <c r="E1" s="10">
        <v>0</v>
      </c>
      <c r="F1" s="10">
        <v>0</v>
      </c>
      <c r="G1" s="10">
        <v>0</v>
      </c>
      <c r="H1" s="10">
        <v>0</v>
      </c>
      <c r="J1" s="1">
        <v>0</v>
      </c>
      <c r="O1" s="35"/>
      <c r="U1" s="35" t="s">
        <v>241</v>
      </c>
      <c r="AE1" s="35" t="s">
        <v>242</v>
      </c>
    </row>
    <row r="2" spans="1:40" ht="15" thickBot="1">
      <c r="A2" s="12">
        <v>0</v>
      </c>
      <c r="B2" s="13">
        <v>741.75824175824187</v>
      </c>
      <c r="C2" s="13">
        <v>0</v>
      </c>
      <c r="D2" s="13">
        <v>0</v>
      </c>
      <c r="E2" s="13">
        <v>0</v>
      </c>
      <c r="F2" s="13">
        <v>0</v>
      </c>
      <c r="G2" s="13">
        <v>0</v>
      </c>
      <c r="H2" s="13">
        <v>0</v>
      </c>
      <c r="J2" s="1">
        <v>0</v>
      </c>
      <c r="O2" s="48"/>
      <c r="P2" s="48"/>
      <c r="Q2" s="48"/>
      <c r="R2" s="48"/>
      <c r="S2" s="48"/>
      <c r="U2" s="48">
        <v>741.75824175824198</v>
      </c>
      <c r="V2" s="48">
        <v>0</v>
      </c>
      <c r="W2" s="48">
        <v>0</v>
      </c>
      <c r="X2" s="48">
        <v>0</v>
      </c>
      <c r="Y2" s="48">
        <v>0</v>
      </c>
      <c r="Z2" s="48">
        <v>0</v>
      </c>
      <c r="AA2" s="48">
        <v>0</v>
      </c>
      <c r="AB2" s="48">
        <v>0</v>
      </c>
      <c r="AE2" s="48">
        <v>27.235238970096113</v>
      </c>
      <c r="AF2" s="48">
        <v>0</v>
      </c>
      <c r="AG2" s="48">
        <v>0</v>
      </c>
      <c r="AH2" s="48">
        <v>0</v>
      </c>
      <c r="AI2" s="48">
        <v>0</v>
      </c>
      <c r="AJ2" s="48">
        <v>0</v>
      </c>
      <c r="AK2" s="48">
        <v>0</v>
      </c>
      <c r="AL2" s="48">
        <v>0</v>
      </c>
    </row>
    <row r="3" spans="1:40" ht="15" thickBot="1">
      <c r="A3" s="12">
        <v>0</v>
      </c>
      <c r="B3" s="13">
        <v>0</v>
      </c>
      <c r="C3" s="13">
        <v>741.75824175824187</v>
      </c>
      <c r="D3" s="13">
        <v>0</v>
      </c>
      <c r="E3" s="13">
        <v>-192.30769230769232</v>
      </c>
      <c r="F3" s="13">
        <v>-192.30769230769232</v>
      </c>
      <c r="G3" s="13">
        <v>0</v>
      </c>
      <c r="H3" s="14">
        <v>357.14285714285717</v>
      </c>
      <c r="J3" s="1">
        <v>0</v>
      </c>
      <c r="O3" s="48"/>
      <c r="P3" s="48"/>
      <c r="Q3" s="48"/>
      <c r="R3" s="48"/>
      <c r="S3" s="48"/>
      <c r="U3" s="48">
        <v>0</v>
      </c>
      <c r="V3" s="48">
        <v>741.75824175824198</v>
      </c>
      <c r="W3" s="48">
        <v>0</v>
      </c>
      <c r="X3" s="48">
        <v>0</v>
      </c>
      <c r="Y3" s="48">
        <v>0</v>
      </c>
      <c r="Z3" s="48">
        <v>0</v>
      </c>
      <c r="AA3" s="48">
        <v>0</v>
      </c>
      <c r="AB3" s="48">
        <v>0</v>
      </c>
      <c r="AE3" s="48">
        <v>0</v>
      </c>
      <c r="AF3" s="48">
        <v>27.235238970096113</v>
      </c>
      <c r="AG3" s="48">
        <v>0</v>
      </c>
      <c r="AH3" s="48">
        <v>0</v>
      </c>
      <c r="AI3" s="48">
        <v>0</v>
      </c>
      <c r="AJ3" s="48">
        <v>0</v>
      </c>
      <c r="AK3" s="48">
        <v>0</v>
      </c>
      <c r="AL3" s="48">
        <v>0</v>
      </c>
    </row>
    <row r="4" spans="1:40" ht="15" thickBot="1">
      <c r="A4" s="12">
        <v>0</v>
      </c>
      <c r="B4" s="13">
        <v>0</v>
      </c>
      <c r="C4" s="13">
        <v>0</v>
      </c>
      <c r="D4" s="13">
        <v>741.75824175824187</v>
      </c>
      <c r="E4" s="13">
        <v>0</v>
      </c>
      <c r="F4" s="13">
        <v>0</v>
      </c>
      <c r="G4" s="13">
        <v>0</v>
      </c>
      <c r="H4" s="13">
        <v>0</v>
      </c>
      <c r="J4" s="1">
        <v>0</v>
      </c>
      <c r="O4" s="48"/>
      <c r="P4" s="48"/>
      <c r="Q4" s="48"/>
      <c r="R4" s="48"/>
      <c r="S4" s="48"/>
      <c r="U4" s="48">
        <v>0</v>
      </c>
      <c r="V4" s="48">
        <v>0</v>
      </c>
      <c r="W4" s="48">
        <v>741.75824175824198</v>
      </c>
      <c r="X4" s="48">
        <v>0</v>
      </c>
      <c r="Y4" s="48">
        <v>-192.30769230769232</v>
      </c>
      <c r="Z4" s="48">
        <v>-192.30769230769232</v>
      </c>
      <c r="AA4" s="48">
        <v>0</v>
      </c>
      <c r="AB4" s="48">
        <v>357.14285714285717</v>
      </c>
      <c r="AE4" s="48">
        <v>0</v>
      </c>
      <c r="AF4" s="48">
        <v>0</v>
      </c>
      <c r="AG4" s="48">
        <v>27.235238970096113</v>
      </c>
      <c r="AH4" s="48">
        <v>0</v>
      </c>
      <c r="AI4" s="48">
        <v>0</v>
      </c>
      <c r="AJ4" s="48">
        <v>0</v>
      </c>
      <c r="AK4" s="48">
        <v>0</v>
      </c>
      <c r="AL4" s="48">
        <v>0</v>
      </c>
    </row>
    <row r="5" spans="1:40" ht="15" thickBot="1">
      <c r="A5" s="12">
        <v>0</v>
      </c>
      <c r="B5" s="13">
        <v>0</v>
      </c>
      <c r="C5" s="13">
        <v>-192.30769230769232</v>
      </c>
      <c r="D5" s="13">
        <v>0</v>
      </c>
      <c r="E5" s="13">
        <v>741.75824175824187</v>
      </c>
      <c r="F5" s="13">
        <v>357.14285714285717</v>
      </c>
      <c r="G5" s="13">
        <v>-549.45054945054949</v>
      </c>
      <c r="H5" s="14">
        <v>-192.30769230769232</v>
      </c>
      <c r="J5" s="1">
        <v>200</v>
      </c>
      <c r="O5" s="48"/>
      <c r="P5" s="48"/>
      <c r="Q5" s="48"/>
      <c r="R5" s="48"/>
      <c r="S5" s="48"/>
      <c r="U5" s="48">
        <v>0</v>
      </c>
      <c r="V5" s="48">
        <v>0</v>
      </c>
      <c r="W5" s="48">
        <v>0</v>
      </c>
      <c r="X5" s="48">
        <v>741.75824175824198</v>
      </c>
      <c r="Y5" s="48">
        <v>0</v>
      </c>
      <c r="Z5" s="48">
        <v>0</v>
      </c>
      <c r="AA5" s="48">
        <v>0</v>
      </c>
      <c r="AB5" s="48">
        <v>0</v>
      </c>
      <c r="AE5" s="48">
        <v>0</v>
      </c>
      <c r="AF5" s="48">
        <v>0</v>
      </c>
      <c r="AG5" s="48">
        <v>0</v>
      </c>
      <c r="AH5" s="48">
        <v>27.235238970096113</v>
      </c>
      <c r="AI5" s="48">
        <v>0</v>
      </c>
      <c r="AJ5" s="48">
        <v>0</v>
      </c>
      <c r="AK5" s="48">
        <v>0</v>
      </c>
      <c r="AL5" s="48">
        <v>0</v>
      </c>
    </row>
    <row r="6" spans="1:40" ht="15" thickBot="1">
      <c r="A6" s="12">
        <v>0</v>
      </c>
      <c r="B6" s="13">
        <v>0</v>
      </c>
      <c r="C6" s="13">
        <v>-192.30769230769232</v>
      </c>
      <c r="D6" s="13">
        <v>0</v>
      </c>
      <c r="E6" s="13">
        <v>357.14285714285717</v>
      </c>
      <c r="F6" s="13">
        <v>741.75824175824187</v>
      </c>
      <c r="G6" s="13">
        <v>-164.83516483516485</v>
      </c>
      <c r="H6" s="14">
        <v>-192.30769230769232</v>
      </c>
      <c r="J6" s="1">
        <v>0</v>
      </c>
      <c r="O6" s="48"/>
      <c r="P6" s="48"/>
      <c r="Q6" s="48"/>
      <c r="R6" s="48"/>
      <c r="S6" s="48"/>
      <c r="U6" s="48">
        <v>0</v>
      </c>
      <c r="V6" s="48">
        <v>0</v>
      </c>
      <c r="W6" s="48">
        <v>-192.30769230769232</v>
      </c>
      <c r="X6" s="48">
        <v>0</v>
      </c>
      <c r="Y6" s="48">
        <v>741.75824175824175</v>
      </c>
      <c r="Z6" s="48">
        <v>357.14285714285717</v>
      </c>
      <c r="AA6" s="48">
        <v>-549.45054945054949</v>
      </c>
      <c r="AB6" s="48">
        <v>-192.30769230769232</v>
      </c>
      <c r="AE6" s="48">
        <v>0</v>
      </c>
      <c r="AF6" s="48">
        <v>0</v>
      </c>
      <c r="AG6" s="48">
        <v>-7.060987881136028</v>
      </c>
      <c r="AH6" s="48">
        <v>0</v>
      </c>
      <c r="AI6" s="48">
        <v>26.304005244462143</v>
      </c>
      <c r="AJ6" s="48">
        <v>0</v>
      </c>
      <c r="AK6" s="48">
        <v>0</v>
      </c>
      <c r="AL6" s="48">
        <v>0</v>
      </c>
    </row>
    <row r="7" spans="1:40" ht="15" thickBot="1">
      <c r="A7" s="12">
        <v>0</v>
      </c>
      <c r="B7" s="13">
        <v>0</v>
      </c>
      <c r="C7" s="13">
        <v>0</v>
      </c>
      <c r="D7" s="13">
        <v>0</v>
      </c>
      <c r="E7" s="13">
        <v>-549.45054945054949</v>
      </c>
      <c r="F7" s="13">
        <v>-164.83516483516485</v>
      </c>
      <c r="G7" s="13">
        <v>741.75824175824187</v>
      </c>
      <c r="H7" s="14">
        <v>0</v>
      </c>
      <c r="J7" s="1">
        <v>0</v>
      </c>
      <c r="U7" s="48">
        <v>0</v>
      </c>
      <c r="V7" s="48">
        <v>0</v>
      </c>
      <c r="W7" s="48">
        <v>-192.30769230769232</v>
      </c>
      <c r="X7" s="48">
        <v>0</v>
      </c>
      <c r="Y7" s="48">
        <v>357.14285714285717</v>
      </c>
      <c r="Z7" s="48">
        <v>741.75824175824187</v>
      </c>
      <c r="AA7" s="48">
        <v>-164.83516483516485</v>
      </c>
      <c r="AB7" s="48">
        <v>-192.30769230769232</v>
      </c>
      <c r="AE7" s="48">
        <v>0</v>
      </c>
      <c r="AF7" s="48">
        <v>0</v>
      </c>
      <c r="AG7" s="48">
        <v>-7.060987881136028</v>
      </c>
      <c r="AH7" s="48">
        <v>0</v>
      </c>
      <c r="AI7" s="48">
        <v>11.682072917393482</v>
      </c>
      <c r="AJ7" s="48">
        <v>23.567559573561997</v>
      </c>
      <c r="AK7" s="48">
        <v>0</v>
      </c>
      <c r="AL7" s="48">
        <v>0</v>
      </c>
    </row>
    <row r="8" spans="1:40">
      <c r="A8" s="15">
        <v>0</v>
      </c>
      <c r="B8" s="13">
        <v>0</v>
      </c>
      <c r="C8" s="16">
        <v>357.14285714285717</v>
      </c>
      <c r="D8" s="16">
        <v>0</v>
      </c>
      <c r="E8" s="16">
        <v>-192.30769230769232</v>
      </c>
      <c r="F8" s="16">
        <v>-192.30769230769232</v>
      </c>
      <c r="G8" s="16">
        <v>0</v>
      </c>
      <c r="H8" s="17">
        <v>741.75824175824187</v>
      </c>
      <c r="J8" s="1">
        <v>-1000</v>
      </c>
      <c r="U8" s="48">
        <v>0</v>
      </c>
      <c r="V8" s="48">
        <v>0</v>
      </c>
      <c r="W8" s="48">
        <v>0</v>
      </c>
      <c r="X8" s="48">
        <v>0</v>
      </c>
      <c r="Y8" s="48">
        <v>-549.45054945054949</v>
      </c>
      <c r="Z8" s="48">
        <v>-164.83516483516485</v>
      </c>
      <c r="AA8" s="48">
        <v>741.75824175824187</v>
      </c>
      <c r="AB8" s="48">
        <v>71.28309572301427</v>
      </c>
      <c r="AE8" s="48">
        <v>0</v>
      </c>
      <c r="AF8" s="48">
        <v>0</v>
      </c>
      <c r="AG8" s="48">
        <v>0</v>
      </c>
      <c r="AH8" s="48">
        <v>0</v>
      </c>
      <c r="AI8" s="48">
        <v>-20.888474752955233</v>
      </c>
      <c r="AJ8" s="48">
        <v>3.3599372100801221</v>
      </c>
      <c r="AK8" s="48">
        <v>17.150530201650113</v>
      </c>
      <c r="AL8" s="48">
        <v>0</v>
      </c>
    </row>
    <row r="9" spans="1:40">
      <c r="U9" s="48">
        <v>0</v>
      </c>
      <c r="V9" s="48">
        <v>0</v>
      </c>
      <c r="W9" s="48">
        <v>357.14285714285717</v>
      </c>
      <c r="X9" s="48">
        <v>0</v>
      </c>
      <c r="Y9" s="48">
        <v>-192.30769230769232</v>
      </c>
      <c r="Z9" s="48">
        <v>-192.30769230769232</v>
      </c>
      <c r="AA9" s="48">
        <v>71.28309572301427</v>
      </c>
      <c r="AB9" s="48">
        <v>741.75824175824187</v>
      </c>
      <c r="AE9" s="48">
        <v>0</v>
      </c>
      <c r="AF9" s="48">
        <v>0</v>
      </c>
      <c r="AG9" s="48">
        <v>13.113263207824051</v>
      </c>
      <c r="AH9" s="48">
        <v>0</v>
      </c>
      <c r="AI9" s="48">
        <v>-3.7908713440548389</v>
      </c>
      <c r="AJ9" s="48">
        <v>-2.3519560470560852</v>
      </c>
      <c r="AK9" s="48">
        <v>0</v>
      </c>
      <c r="AL9" s="48">
        <v>23.449907611888584</v>
      </c>
    </row>
    <row r="10" spans="1:40" s="35" customFormat="1"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</row>
    <row r="11" spans="1:40">
      <c r="B11" s="49"/>
      <c r="C11" s="49"/>
      <c r="D11" s="49"/>
      <c r="E11" s="49"/>
      <c r="F11" s="49"/>
    </row>
    <row r="13" spans="1:40" s="35" customFormat="1">
      <c r="A13" s="35" t="s">
        <v>107</v>
      </c>
      <c r="B13" s="35" t="s">
        <v>108</v>
      </c>
      <c r="C13" s="35" t="s">
        <v>109</v>
      </c>
      <c r="D13" s="35" t="s">
        <v>110</v>
      </c>
      <c r="E13" s="35" t="s">
        <v>111</v>
      </c>
      <c r="F13" s="35" t="s">
        <v>112</v>
      </c>
      <c r="G13" s="35" t="s">
        <v>113</v>
      </c>
    </row>
    <row r="14" spans="1:40">
      <c r="A14">
        <v>1</v>
      </c>
      <c r="B14" s="49">
        <v>7.9845799859546949</v>
      </c>
      <c r="C14" s="49">
        <v>40.137541927638594</v>
      </c>
      <c r="D14" s="49">
        <v>0</v>
      </c>
      <c r="E14" s="49">
        <v>0</v>
      </c>
      <c r="F14" s="49">
        <v>0.83874846925263202</v>
      </c>
      <c r="G14" t="s">
        <v>113</v>
      </c>
    </row>
    <row r="15" spans="1:40">
      <c r="A15">
        <v>2</v>
      </c>
      <c r="B15" s="49">
        <v>2.6047688965207883E-15</v>
      </c>
      <c r="C15" s="49">
        <v>7.1443834324251776E-2</v>
      </c>
      <c r="D15" s="49">
        <v>0</v>
      </c>
      <c r="E15" s="49">
        <v>0</v>
      </c>
      <c r="F15" s="49">
        <v>0.83799999999999975</v>
      </c>
      <c r="G15" t="s">
        <v>113</v>
      </c>
    </row>
    <row r="16" spans="1:40">
      <c r="B16" s="49"/>
    </row>
    <row r="17" spans="1:13">
      <c r="B17" s="49"/>
      <c r="M17" t="s">
        <v>119</v>
      </c>
    </row>
    <row r="18" spans="1:13">
      <c r="A18" s="35"/>
      <c r="B18" s="49"/>
      <c r="D18" t="s">
        <v>183</v>
      </c>
    </row>
    <row r="19" spans="1:13">
      <c r="A19" t="s">
        <v>110</v>
      </c>
      <c r="B19" s="49">
        <v>0</v>
      </c>
      <c r="D19" s="1">
        <v>0</v>
      </c>
      <c r="M19" t="s">
        <v>120</v>
      </c>
    </row>
    <row r="20" spans="1:13">
      <c r="A20" t="s">
        <v>111</v>
      </c>
      <c r="B20" s="49">
        <v>0</v>
      </c>
      <c r="D20" s="1">
        <v>0</v>
      </c>
      <c r="M20" t="s">
        <v>121</v>
      </c>
    </row>
    <row r="21" spans="1:13">
      <c r="A21" t="s">
        <v>112</v>
      </c>
      <c r="B21" s="49">
        <v>0.83799999999999975</v>
      </c>
      <c r="D21" s="1">
        <v>0.83799999999999975</v>
      </c>
      <c r="M21" t="s">
        <v>122</v>
      </c>
    </row>
    <row r="22" spans="1:13">
      <c r="A22" t="s">
        <v>114</v>
      </c>
      <c r="B22" s="49">
        <v>0</v>
      </c>
      <c r="D22" s="1">
        <v>0</v>
      </c>
      <c r="M22" t="s">
        <v>123</v>
      </c>
    </row>
    <row r="23" spans="1:13">
      <c r="A23" t="s">
        <v>115</v>
      </c>
      <c r="B23" s="49">
        <v>0.31799999999999995</v>
      </c>
      <c r="D23" s="1">
        <v>0.31800000000000006</v>
      </c>
      <c r="M23" t="s">
        <v>124</v>
      </c>
    </row>
    <row r="24" spans="1:13">
      <c r="A24" t="s">
        <v>116</v>
      </c>
      <c r="B24" s="49">
        <v>-0.35799999999999993</v>
      </c>
      <c r="D24" s="1">
        <v>-0.35799999999999998</v>
      </c>
    </row>
    <row r="25" spans="1:13">
      <c r="A25" t="s">
        <v>117</v>
      </c>
      <c r="B25" s="49">
        <v>0.15599999999999992</v>
      </c>
      <c r="D25" s="1">
        <v>0.15600000000000014</v>
      </c>
      <c r="M25" t="s">
        <v>125</v>
      </c>
    </row>
    <row r="26" spans="1:13">
      <c r="A26" t="s">
        <v>118</v>
      </c>
      <c r="B26" s="49">
        <v>-1.7619999999999996</v>
      </c>
      <c r="D26" s="1">
        <v>-1.7619999999999996</v>
      </c>
      <c r="M26" t="s">
        <v>126</v>
      </c>
    </row>
    <row r="28" spans="1:13">
      <c r="M28" t="s">
        <v>127</v>
      </c>
    </row>
    <row r="29" spans="1:13">
      <c r="A29" t="s">
        <v>184</v>
      </c>
      <c r="D29" t="s">
        <v>205</v>
      </c>
      <c r="M29" t="s">
        <v>128</v>
      </c>
    </row>
    <row r="30" spans="1:13">
      <c r="A30" t="s">
        <v>185</v>
      </c>
      <c r="M30" t="s">
        <v>127</v>
      </c>
    </row>
    <row r="31" spans="1:13">
      <c r="A31" t="s">
        <v>186</v>
      </c>
      <c r="D31" t="s">
        <v>206</v>
      </c>
    </row>
    <row r="32" spans="1:13">
      <c r="A32" t="s">
        <v>187</v>
      </c>
      <c r="D32" t="s">
        <v>207</v>
      </c>
      <c r="M32" t="s">
        <v>129</v>
      </c>
    </row>
    <row r="33" spans="1:13">
      <c r="A33" t="s">
        <v>188</v>
      </c>
      <c r="D33" t="s">
        <v>208</v>
      </c>
      <c r="M33" t="s">
        <v>130</v>
      </c>
    </row>
    <row r="34" spans="1:13">
      <c r="A34" t="s">
        <v>189</v>
      </c>
      <c r="D34" t="s">
        <v>209</v>
      </c>
      <c r="M34" t="s">
        <v>131</v>
      </c>
    </row>
    <row r="35" spans="1:13">
      <c r="D35" t="s">
        <v>210</v>
      </c>
      <c r="M35" t="s">
        <v>132</v>
      </c>
    </row>
    <row r="36" spans="1:13">
      <c r="A36" t="s">
        <v>190</v>
      </c>
      <c r="D36" t="s">
        <v>211</v>
      </c>
      <c r="M36" t="s">
        <v>133</v>
      </c>
    </row>
    <row r="37" spans="1:13">
      <c r="A37" t="s">
        <v>191</v>
      </c>
      <c r="D37" t="s">
        <v>212</v>
      </c>
      <c r="M37" t="s">
        <v>134</v>
      </c>
    </row>
    <row r="38" spans="1:13">
      <c r="A38" t="s">
        <v>192</v>
      </c>
      <c r="D38" t="s">
        <v>213</v>
      </c>
      <c r="M38" t="s">
        <v>135</v>
      </c>
    </row>
    <row r="39" spans="1:13">
      <c r="A39" t="s">
        <v>193</v>
      </c>
      <c r="D39" t="s">
        <v>214</v>
      </c>
      <c r="M39" t="s">
        <v>136</v>
      </c>
    </row>
    <row r="40" spans="1:13">
      <c r="A40" t="s">
        <v>194</v>
      </c>
      <c r="D40" t="s">
        <v>215</v>
      </c>
      <c r="M40" t="s">
        <v>137</v>
      </c>
    </row>
    <row r="41" spans="1:13">
      <c r="A41" t="s">
        <v>195</v>
      </c>
      <c r="D41" t="s">
        <v>206</v>
      </c>
      <c r="M41" t="s">
        <v>138</v>
      </c>
    </row>
    <row r="42" spans="1:13">
      <c r="A42" t="s">
        <v>196</v>
      </c>
      <c r="D42" t="s">
        <v>216</v>
      </c>
      <c r="M42" t="s">
        <v>139</v>
      </c>
    </row>
    <row r="43" spans="1:13">
      <c r="A43" t="s">
        <v>197</v>
      </c>
      <c r="D43" t="s">
        <v>208</v>
      </c>
      <c r="M43" t="s">
        <v>140</v>
      </c>
    </row>
    <row r="44" spans="1:13">
      <c r="A44" t="s">
        <v>198</v>
      </c>
      <c r="D44" t="s">
        <v>217</v>
      </c>
      <c r="M44" t="s">
        <v>141</v>
      </c>
    </row>
    <row r="45" spans="1:13">
      <c r="A45" t="s">
        <v>199</v>
      </c>
      <c r="D45" t="s">
        <v>218</v>
      </c>
      <c r="M45" t="s">
        <v>142</v>
      </c>
    </row>
    <row r="46" spans="1:13">
      <c r="A46" t="s">
        <v>200</v>
      </c>
      <c r="D46" t="s">
        <v>219</v>
      </c>
      <c r="M46" t="s">
        <v>143</v>
      </c>
    </row>
    <row r="47" spans="1:13">
      <c r="D47" t="s">
        <v>220</v>
      </c>
      <c r="M47" t="s">
        <v>144</v>
      </c>
    </row>
    <row r="48" spans="1:13">
      <c r="A48" t="s">
        <v>201</v>
      </c>
      <c r="D48" t="s">
        <v>221</v>
      </c>
      <c r="M48" t="s">
        <v>145</v>
      </c>
    </row>
    <row r="49" spans="1:19">
      <c r="A49" t="s">
        <v>202</v>
      </c>
      <c r="D49" t="s">
        <v>222</v>
      </c>
    </row>
    <row r="50" spans="1:19">
      <c r="A50" t="s">
        <v>203</v>
      </c>
      <c r="D50" t="s">
        <v>223</v>
      </c>
      <c r="M50" t="s">
        <v>127</v>
      </c>
    </row>
    <row r="51" spans="1:19">
      <c r="A51" t="s">
        <v>204</v>
      </c>
      <c r="D51" t="s">
        <v>224</v>
      </c>
      <c r="M51" t="s">
        <v>146</v>
      </c>
    </row>
    <row r="52" spans="1:19">
      <c r="D52" t="s">
        <v>225</v>
      </c>
      <c r="M52" t="s">
        <v>127</v>
      </c>
    </row>
    <row r="53" spans="1:19">
      <c r="D53" t="s">
        <v>226</v>
      </c>
    </row>
    <row r="54" spans="1:19">
      <c r="D54" t="s">
        <v>214</v>
      </c>
      <c r="M54" t="s">
        <v>147</v>
      </c>
      <c r="S54" s="50" t="s">
        <v>176</v>
      </c>
    </row>
    <row r="55" spans="1:19">
      <c r="D55" t="s">
        <v>215</v>
      </c>
      <c r="M55" t="s">
        <v>148</v>
      </c>
      <c r="S55" s="50" t="s">
        <v>177</v>
      </c>
    </row>
    <row r="56" spans="1:19">
      <c r="D56" t="s">
        <v>206</v>
      </c>
      <c r="M56" t="s">
        <v>149</v>
      </c>
      <c r="S56" s="50"/>
    </row>
    <row r="57" spans="1:19">
      <c r="D57" t="s">
        <v>227</v>
      </c>
      <c r="M57" t="s">
        <v>150</v>
      </c>
      <c r="S57" s="50" t="s">
        <v>178</v>
      </c>
    </row>
    <row r="58" spans="1:19">
      <c r="D58" t="s">
        <v>208</v>
      </c>
      <c r="M58" t="s">
        <v>151</v>
      </c>
      <c r="S58" s="50" t="s">
        <v>179</v>
      </c>
    </row>
    <row r="59" spans="1:19">
      <c r="D59" t="s">
        <v>228</v>
      </c>
      <c r="M59" t="s">
        <v>152</v>
      </c>
      <c r="S59" s="50"/>
    </row>
    <row r="60" spans="1:19">
      <c r="D60" t="s">
        <v>229</v>
      </c>
      <c r="S60" s="50" t="s">
        <v>180</v>
      </c>
    </row>
    <row r="61" spans="1:19">
      <c r="D61" t="s">
        <v>230</v>
      </c>
      <c r="M61" t="s">
        <v>153</v>
      </c>
    </row>
    <row r="62" spans="1:19">
      <c r="D62" t="s">
        <v>231</v>
      </c>
      <c r="M62" t="s">
        <v>154</v>
      </c>
    </row>
    <row r="63" spans="1:19">
      <c r="D63" t="s">
        <v>232</v>
      </c>
      <c r="M63" t="s">
        <v>155</v>
      </c>
    </row>
    <row r="64" spans="1:19">
      <c r="D64" t="s">
        <v>233</v>
      </c>
      <c r="M64" t="s">
        <v>156</v>
      </c>
    </row>
    <row r="65" spans="4:13">
      <c r="D65" t="s">
        <v>234</v>
      </c>
      <c r="M65" t="s">
        <v>157</v>
      </c>
    </row>
    <row r="66" spans="4:13">
      <c r="D66" t="s">
        <v>235</v>
      </c>
      <c r="M66" t="s">
        <v>158</v>
      </c>
    </row>
    <row r="67" spans="4:13">
      <c r="D67" t="s">
        <v>236</v>
      </c>
      <c r="M67" t="s">
        <v>159</v>
      </c>
    </row>
    <row r="68" spans="4:13">
      <c r="D68" t="s">
        <v>237</v>
      </c>
      <c r="M68" t="s">
        <v>160</v>
      </c>
    </row>
    <row r="69" spans="4:13">
      <c r="D69" t="s">
        <v>214</v>
      </c>
      <c r="M69" t="s">
        <v>161</v>
      </c>
    </row>
    <row r="70" spans="4:13">
      <c r="D70" t="s">
        <v>215</v>
      </c>
      <c r="M70" t="s">
        <v>162</v>
      </c>
    </row>
    <row r="71" spans="4:13">
      <c r="D71" t="s">
        <v>238</v>
      </c>
      <c r="M71" t="s">
        <v>163</v>
      </c>
    </row>
    <row r="72" spans="4:13">
      <c r="M72" t="s">
        <v>159</v>
      </c>
    </row>
    <row r="73" spans="4:13">
      <c r="M73" t="s">
        <v>164</v>
      </c>
    </row>
    <row r="74" spans="4:13">
      <c r="M74" t="s">
        <v>165</v>
      </c>
    </row>
    <row r="75" spans="4:13">
      <c r="M75" t="s">
        <v>166</v>
      </c>
    </row>
    <row r="76" spans="4:13">
      <c r="M76" t="s">
        <v>167</v>
      </c>
    </row>
    <row r="77" spans="4:13">
      <c r="M77" t="s">
        <v>168</v>
      </c>
    </row>
    <row r="78" spans="4:13">
      <c r="M78" t="s">
        <v>169</v>
      </c>
    </row>
    <row r="80" spans="4:13">
      <c r="M80" t="s">
        <v>170</v>
      </c>
    </row>
    <row r="82" spans="13:13">
      <c r="M82" t="s">
        <v>127</v>
      </c>
    </row>
    <row r="83" spans="13:13">
      <c r="M83" t="s">
        <v>171</v>
      </c>
    </row>
    <row r="84" spans="13:13">
      <c r="M84" t="s">
        <v>127</v>
      </c>
    </row>
    <row r="86" spans="13:13">
      <c r="M86" t="s">
        <v>172</v>
      </c>
    </row>
    <row r="87" spans="13:13">
      <c r="M87" t="s">
        <v>173</v>
      </c>
    </row>
    <row r="88" spans="13:13">
      <c r="M88" t="s">
        <v>174</v>
      </c>
    </row>
    <row r="89" spans="13:13">
      <c r="M89" t="s">
        <v>175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RunICPCG">
                <anchor moveWithCells="1" sizeWithCells="1">
                  <from>
                    <xdr:col>11</xdr:col>
                    <xdr:colOff>190500</xdr:colOff>
                    <xdr:row>0</xdr:row>
                    <xdr:rowOff>83820</xdr:rowOff>
                  </from>
                  <to>
                    <xdr:col>16</xdr:col>
                    <xdr:colOff>342900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/>
  <dimension ref="A1:L12"/>
  <sheetViews>
    <sheetView workbookViewId="0">
      <selection activeCell="S13" sqref="S13"/>
    </sheetView>
  </sheetViews>
  <sheetFormatPr defaultRowHeight="14.4"/>
  <sheetData>
    <row r="1" spans="1:12" ht="15" thickBot="1">
      <c r="A1" s="9">
        <v>370.87912087912093</v>
      </c>
      <c r="B1" s="10">
        <v>178.57142857142858</v>
      </c>
      <c r="C1" s="10">
        <v>-178.57142857142858</v>
      </c>
      <c r="D1" s="10">
        <v>-13.736263736263737</v>
      </c>
      <c r="E1" s="10">
        <v>-370.87912087912093</v>
      </c>
      <c r="F1" s="10">
        <v>-178.57142857142858</v>
      </c>
      <c r="G1" s="10">
        <v>178.57142857142858</v>
      </c>
      <c r="H1" s="46">
        <v>13.736263736263737</v>
      </c>
      <c r="I1">
        <v>0</v>
      </c>
      <c r="J1">
        <v>0</v>
      </c>
      <c r="K1">
        <v>0</v>
      </c>
      <c r="L1">
        <v>0</v>
      </c>
    </row>
    <row r="2" spans="1:12" ht="15" thickBot="1">
      <c r="A2" s="12">
        <v>178.57142857142858</v>
      </c>
      <c r="B2" s="13">
        <v>370.87912087912093</v>
      </c>
      <c r="C2" s="13">
        <v>13.736263736263737</v>
      </c>
      <c r="D2" s="13">
        <v>178.57142857142858</v>
      </c>
      <c r="E2" s="13">
        <v>-178.57142857142858</v>
      </c>
      <c r="F2" s="13">
        <v>-370.87912087912093</v>
      </c>
      <c r="G2" s="13">
        <v>-13.736263736263737</v>
      </c>
      <c r="H2" s="14">
        <v>-178.57142857142858</v>
      </c>
      <c r="I2">
        <v>0</v>
      </c>
      <c r="J2">
        <v>0</v>
      </c>
      <c r="K2">
        <v>0</v>
      </c>
      <c r="L2">
        <v>0</v>
      </c>
    </row>
    <row r="3" spans="1:12" ht="15" thickBot="1">
      <c r="A3" s="12">
        <v>-178.57142857142858</v>
      </c>
      <c r="B3" s="13">
        <v>13.736263736263737</v>
      </c>
      <c r="C3" s="13">
        <v>741.75824175824187</v>
      </c>
      <c r="D3" s="13">
        <v>0</v>
      </c>
      <c r="E3" s="13">
        <v>357.14285714285717</v>
      </c>
      <c r="F3" s="13">
        <v>0</v>
      </c>
      <c r="G3" s="13">
        <v>-370.87912087912093</v>
      </c>
      <c r="H3" s="14">
        <v>178.57142857142858</v>
      </c>
      <c r="I3">
        <v>-178.57142857142858</v>
      </c>
      <c r="J3">
        <v>-13.736263736263737</v>
      </c>
      <c r="K3">
        <v>-370.87912087912093</v>
      </c>
      <c r="L3">
        <v>-178.57142857142858</v>
      </c>
    </row>
    <row r="4" spans="1:12" ht="15" thickBot="1">
      <c r="A4" s="12">
        <v>-13.736263736263737</v>
      </c>
      <c r="B4" s="13">
        <v>178.57142857142858</v>
      </c>
      <c r="C4" s="13">
        <v>0</v>
      </c>
      <c r="D4" s="13">
        <v>741.75824175824187</v>
      </c>
      <c r="E4" s="13">
        <v>0</v>
      </c>
      <c r="F4" s="13">
        <v>-357.14285714285717</v>
      </c>
      <c r="G4" s="13">
        <v>178.57142857142858</v>
      </c>
      <c r="H4" s="14">
        <v>-370.87912087912093</v>
      </c>
      <c r="I4">
        <v>13.736263736263737</v>
      </c>
      <c r="J4">
        <v>178.57142857142858</v>
      </c>
      <c r="K4">
        <v>-178.57142857142858</v>
      </c>
      <c r="L4">
        <v>-370.87912087912093</v>
      </c>
    </row>
    <row r="5" spans="1:12" ht="15" thickBot="1">
      <c r="A5" s="12">
        <v>-370.87912087912093</v>
      </c>
      <c r="B5" s="13">
        <v>-178.57142857142858</v>
      </c>
      <c r="C5" s="13">
        <v>357.14285714285717</v>
      </c>
      <c r="D5" s="13">
        <v>0</v>
      </c>
      <c r="E5" s="13">
        <v>741.75824175824187</v>
      </c>
      <c r="F5" s="13">
        <v>0</v>
      </c>
      <c r="G5" s="13">
        <v>-178.57142857142858</v>
      </c>
      <c r="H5" s="14">
        <v>-13.736263736263737</v>
      </c>
      <c r="I5">
        <v>-370.87912087912093</v>
      </c>
      <c r="J5">
        <v>178.57142857142858</v>
      </c>
      <c r="K5">
        <v>-178.57142857142858</v>
      </c>
      <c r="L5">
        <v>13.736263736263737</v>
      </c>
    </row>
    <row r="6" spans="1:12" ht="15" thickBot="1">
      <c r="A6" s="12">
        <v>-178.57142857142858</v>
      </c>
      <c r="B6" s="13">
        <v>-370.87912087912093</v>
      </c>
      <c r="C6" s="13">
        <v>0</v>
      </c>
      <c r="D6" s="13">
        <v>-357.14285714285717</v>
      </c>
      <c r="E6" s="13">
        <v>0</v>
      </c>
      <c r="F6" s="13">
        <v>741.75824175824187</v>
      </c>
      <c r="G6" s="13">
        <v>13.736263736263737</v>
      </c>
      <c r="H6" s="14">
        <v>178.57142857142858</v>
      </c>
      <c r="I6">
        <v>178.57142857142858</v>
      </c>
      <c r="J6">
        <v>-370.87912087912093</v>
      </c>
      <c r="K6">
        <v>-13.736263736263737</v>
      </c>
      <c r="L6">
        <v>178.57142857142858</v>
      </c>
    </row>
    <row r="7" spans="1:12" ht="15" thickBot="1">
      <c r="A7" s="12">
        <v>178.57142857142858</v>
      </c>
      <c r="B7" s="13">
        <v>-13.736263736263737</v>
      </c>
      <c r="C7" s="13">
        <v>-370.87912087912093</v>
      </c>
      <c r="D7" s="13">
        <v>178.57142857142858</v>
      </c>
      <c r="E7" s="13">
        <v>-178.57142857142858</v>
      </c>
      <c r="F7" s="13">
        <v>13.736263736263737</v>
      </c>
      <c r="G7" s="13">
        <v>370.87912087912093</v>
      </c>
      <c r="H7" s="14">
        <v>-178.57142857142858</v>
      </c>
      <c r="I7">
        <v>0</v>
      </c>
      <c r="J7">
        <v>0</v>
      </c>
      <c r="K7">
        <v>0</v>
      </c>
      <c r="L7">
        <v>0</v>
      </c>
    </row>
    <row r="8" spans="1:12">
      <c r="A8" s="15">
        <v>13.736263736263737</v>
      </c>
      <c r="B8" s="16">
        <v>-178.57142857142858</v>
      </c>
      <c r="C8" s="16">
        <v>178.57142857142858</v>
      </c>
      <c r="D8" s="16">
        <v>-370.87912087912093</v>
      </c>
      <c r="E8" s="16">
        <v>-13.736263736263737</v>
      </c>
      <c r="F8" s="16">
        <v>178.57142857142858</v>
      </c>
      <c r="G8" s="16">
        <v>-178.57142857142858</v>
      </c>
      <c r="H8" s="17">
        <v>370.87912087912093</v>
      </c>
      <c r="I8">
        <v>0</v>
      </c>
      <c r="J8">
        <v>0</v>
      </c>
      <c r="K8">
        <v>0</v>
      </c>
      <c r="L8">
        <v>0</v>
      </c>
    </row>
    <row r="9" spans="1:12">
      <c r="A9">
        <v>0</v>
      </c>
      <c r="B9">
        <v>0</v>
      </c>
      <c r="C9">
        <v>-178.57142857142858</v>
      </c>
      <c r="D9">
        <v>13.736263736263737</v>
      </c>
      <c r="E9">
        <v>-370.87912087912093</v>
      </c>
      <c r="F9">
        <v>178.57142857142858</v>
      </c>
      <c r="G9">
        <v>0</v>
      </c>
      <c r="H9">
        <v>0</v>
      </c>
      <c r="I9">
        <v>370.87912087912093</v>
      </c>
      <c r="J9">
        <v>-178.57142857142858</v>
      </c>
      <c r="K9">
        <v>178.57142857142858</v>
      </c>
      <c r="L9">
        <v>-13.736263736263737</v>
      </c>
    </row>
    <row r="10" spans="1:12">
      <c r="A10">
        <v>0</v>
      </c>
      <c r="B10">
        <v>0</v>
      </c>
      <c r="C10">
        <v>-13.736263736263737</v>
      </c>
      <c r="D10">
        <v>178.57142857142858</v>
      </c>
      <c r="E10">
        <v>178.57142857142858</v>
      </c>
      <c r="F10">
        <v>-370.87912087912093</v>
      </c>
      <c r="G10">
        <v>0</v>
      </c>
      <c r="H10">
        <v>0</v>
      </c>
      <c r="I10">
        <v>-178.57142857142858</v>
      </c>
      <c r="J10">
        <v>370.87912087912093</v>
      </c>
      <c r="K10">
        <v>13.736263736263737</v>
      </c>
      <c r="L10">
        <v>-178.57142857142858</v>
      </c>
    </row>
    <row r="11" spans="1:12">
      <c r="A11">
        <v>0</v>
      </c>
      <c r="B11">
        <v>0</v>
      </c>
      <c r="C11">
        <v>-370.87912087912093</v>
      </c>
      <c r="D11">
        <v>-178.57142857142858</v>
      </c>
      <c r="E11">
        <v>-178.57142857142858</v>
      </c>
      <c r="F11">
        <v>-13.736263736263737</v>
      </c>
      <c r="G11">
        <v>0</v>
      </c>
      <c r="H11">
        <v>0</v>
      </c>
      <c r="I11">
        <v>178.57142857142858</v>
      </c>
      <c r="J11">
        <v>13.736263736263737</v>
      </c>
      <c r="K11">
        <v>370.87912087912093</v>
      </c>
      <c r="L11">
        <v>178.57142857142858</v>
      </c>
    </row>
    <row r="12" spans="1:12">
      <c r="A12">
        <v>0</v>
      </c>
      <c r="B12">
        <v>0</v>
      </c>
      <c r="C12">
        <v>-178.57142857142858</v>
      </c>
      <c r="D12">
        <v>-370.87912087912093</v>
      </c>
      <c r="E12">
        <v>13.736263736263737</v>
      </c>
      <c r="F12">
        <v>178.57142857142858</v>
      </c>
      <c r="G12">
        <v>0</v>
      </c>
      <c r="H12">
        <v>0</v>
      </c>
      <c r="I12">
        <v>-13.736263736263737</v>
      </c>
      <c r="J12">
        <v>-178.57142857142858</v>
      </c>
      <c r="K12">
        <v>178.57142857142858</v>
      </c>
      <c r="L12">
        <v>370.87912087912093</v>
      </c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heckCholesky">
                <anchor moveWithCells="1" sizeWithCells="1">
                  <from>
                    <xdr:col>14</xdr:col>
                    <xdr:colOff>312420</xdr:colOff>
                    <xdr:row>1</xdr:row>
                    <xdr:rowOff>53340</xdr:rowOff>
                  </from>
                  <to>
                    <xdr:col>17</xdr:col>
                    <xdr:colOff>525780</xdr:colOff>
                    <xdr:row>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H43"/>
  <sheetViews>
    <sheetView workbookViewId="0"/>
  </sheetViews>
  <sheetFormatPr defaultRowHeight="14.4"/>
  <cols>
    <col min="1" max="1" width="59.88671875" bestFit="1" customWidth="1"/>
    <col min="2" max="2" width="12" bestFit="1" customWidth="1"/>
    <col min="3" max="3" width="12.6640625" bestFit="1" customWidth="1"/>
    <col min="4" max="4" width="12" bestFit="1" customWidth="1"/>
    <col min="5" max="8" width="12.6640625" bestFit="1" customWidth="1"/>
  </cols>
  <sheetData>
    <row r="1" spans="1:8">
      <c r="A1" t="s">
        <v>94</v>
      </c>
    </row>
    <row r="2" spans="1:8">
      <c r="A2">
        <v>1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</row>
    <row r="3" spans="1:8">
      <c r="A3">
        <v>0</v>
      </c>
      <c r="B3">
        <v>1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</row>
    <row r="4" spans="1:8">
      <c r="A4">
        <v>0</v>
      </c>
      <c r="B4">
        <v>0</v>
      </c>
      <c r="C4">
        <v>1</v>
      </c>
      <c r="D4">
        <v>0</v>
      </c>
      <c r="E4">
        <v>0</v>
      </c>
      <c r="F4">
        <v>0</v>
      </c>
      <c r="G4">
        <v>0</v>
      </c>
      <c r="H4">
        <v>0</v>
      </c>
    </row>
    <row r="5" spans="1:8">
      <c r="A5">
        <v>0</v>
      </c>
      <c r="B5">
        <v>0</v>
      </c>
      <c r="C5">
        <v>0</v>
      </c>
      <c r="D5">
        <v>1</v>
      </c>
      <c r="E5">
        <v>0</v>
      </c>
      <c r="F5">
        <v>0</v>
      </c>
      <c r="G5">
        <v>0</v>
      </c>
      <c r="H5">
        <v>0</v>
      </c>
    </row>
    <row r="6" spans="1:8">
      <c r="A6">
        <v>0</v>
      </c>
      <c r="B6">
        <v>0</v>
      </c>
      <c r="C6">
        <v>-0.25925925925925924</v>
      </c>
      <c r="D6">
        <v>0</v>
      </c>
      <c r="E6">
        <v>1</v>
      </c>
      <c r="F6">
        <v>0</v>
      </c>
      <c r="G6">
        <v>0</v>
      </c>
      <c r="H6">
        <v>0</v>
      </c>
    </row>
    <row r="7" spans="1:8">
      <c r="A7">
        <v>0</v>
      </c>
      <c r="B7">
        <v>0</v>
      </c>
      <c r="C7">
        <v>-0.25925925925925924</v>
      </c>
      <c r="D7">
        <v>0</v>
      </c>
      <c r="E7">
        <v>0.44411764705882345</v>
      </c>
      <c r="F7">
        <v>1</v>
      </c>
      <c r="G7">
        <v>0</v>
      </c>
      <c r="H7">
        <v>0</v>
      </c>
    </row>
    <row r="8" spans="1:8">
      <c r="A8">
        <v>0</v>
      </c>
      <c r="B8">
        <v>0</v>
      </c>
      <c r="C8">
        <v>0</v>
      </c>
      <c r="D8">
        <v>0</v>
      </c>
      <c r="E8">
        <v>-0.79411764705882348</v>
      </c>
      <c r="F8">
        <v>0.14256619144602839</v>
      </c>
      <c r="G8">
        <v>1</v>
      </c>
      <c r="H8">
        <v>0</v>
      </c>
    </row>
    <row r="9" spans="1:8">
      <c r="A9">
        <v>0</v>
      </c>
      <c r="B9">
        <v>0</v>
      </c>
      <c r="C9">
        <v>0.48148148148148145</v>
      </c>
      <c r="D9">
        <v>0</v>
      </c>
      <c r="E9">
        <v>-0.14411764705882352</v>
      </c>
      <c r="F9">
        <v>-9.9796334012219962E-2</v>
      </c>
      <c r="G9">
        <v>-0.24234354194407451</v>
      </c>
      <c r="H9">
        <v>1</v>
      </c>
    </row>
    <row r="12" spans="1:8">
      <c r="A12" t="s">
        <v>95</v>
      </c>
    </row>
    <row r="13" spans="1:8">
      <c r="A13">
        <v>741.75824175824187</v>
      </c>
    </row>
    <row r="14" spans="1:8">
      <c r="A14">
        <v>741.75824175824187</v>
      </c>
    </row>
    <row r="15" spans="1:8">
      <c r="A15">
        <v>741.75824175824187</v>
      </c>
    </row>
    <row r="16" spans="1:8">
      <c r="A16">
        <v>741.75824175824187</v>
      </c>
    </row>
    <row r="17" spans="1:1">
      <c r="A17">
        <v>691.90069190069198</v>
      </c>
    </row>
    <row r="18" spans="1:1">
      <c r="A18">
        <v>555.42986425339382</v>
      </c>
    </row>
    <row r="19" spans="1:1">
      <c r="A19">
        <v>294.1406861977128</v>
      </c>
    </row>
    <row r="20" spans="1:1">
      <c r="A20">
        <v>532.62316910785626</v>
      </c>
    </row>
    <row r="23" spans="1:1">
      <c r="A23" t="s">
        <v>96</v>
      </c>
    </row>
    <row r="24" spans="1:1">
      <c r="A24" t="s">
        <v>97</v>
      </c>
    </row>
    <row r="25" spans="1:1">
      <c r="A25" t="s">
        <v>98</v>
      </c>
    </row>
    <row r="26" spans="1:1">
      <c r="A26" t="s">
        <v>99</v>
      </c>
    </row>
    <row r="27" spans="1:1">
      <c r="A27" t="s">
        <v>100</v>
      </c>
    </row>
    <row r="28" spans="1:1">
      <c r="A28" t="s">
        <v>101</v>
      </c>
    </row>
    <row r="29" spans="1:1">
      <c r="A29" t="s">
        <v>102</v>
      </c>
    </row>
    <row r="30" spans="1:1">
      <c r="A30" t="s">
        <v>103</v>
      </c>
    </row>
    <row r="31" spans="1:1">
      <c r="A31" t="s">
        <v>104</v>
      </c>
    </row>
    <row r="33" spans="1:8">
      <c r="A33" s="47" t="s">
        <v>105</v>
      </c>
    </row>
    <row r="35" spans="1:8">
      <c r="A35" t="s">
        <v>106</v>
      </c>
    </row>
    <row r="36" spans="1:8">
      <c r="A36">
        <v>741.75824175824187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</row>
    <row r="37" spans="1:8">
      <c r="A37">
        <v>0</v>
      </c>
      <c r="B37">
        <v>741.75824175824187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</row>
    <row r="38" spans="1:8">
      <c r="A38">
        <v>0</v>
      </c>
      <c r="B38">
        <v>0</v>
      </c>
      <c r="C38">
        <v>741.75824175824187</v>
      </c>
      <c r="D38">
        <v>0</v>
      </c>
      <c r="E38">
        <v>-192.30769230769232</v>
      </c>
      <c r="F38">
        <v>-192.30769230769232</v>
      </c>
      <c r="G38">
        <v>0</v>
      </c>
      <c r="H38">
        <v>357.14285714285717</v>
      </c>
    </row>
    <row r="39" spans="1:8">
      <c r="A39">
        <v>0</v>
      </c>
      <c r="B39">
        <v>0</v>
      </c>
      <c r="C39">
        <v>0</v>
      </c>
      <c r="D39">
        <v>741.75824175824187</v>
      </c>
      <c r="E39">
        <v>0</v>
      </c>
      <c r="F39">
        <v>0</v>
      </c>
      <c r="G39">
        <v>0</v>
      </c>
      <c r="H39">
        <v>0</v>
      </c>
    </row>
    <row r="40" spans="1:8">
      <c r="A40">
        <v>0</v>
      </c>
      <c r="B40">
        <v>0</v>
      </c>
      <c r="C40">
        <v>-192.30769230769232</v>
      </c>
      <c r="D40">
        <v>0</v>
      </c>
      <c r="E40">
        <v>741.75824175824187</v>
      </c>
      <c r="F40">
        <v>357.14285714285711</v>
      </c>
      <c r="G40">
        <v>-549.45054945054949</v>
      </c>
      <c r="H40">
        <v>-192.30769230769232</v>
      </c>
    </row>
    <row r="41" spans="1:8">
      <c r="A41">
        <v>0</v>
      </c>
      <c r="B41">
        <v>0</v>
      </c>
      <c r="C41">
        <v>-192.30769230769232</v>
      </c>
      <c r="D41">
        <v>0</v>
      </c>
      <c r="E41">
        <v>357.14285714285711</v>
      </c>
      <c r="F41">
        <v>741.75824175824187</v>
      </c>
      <c r="G41">
        <v>-164.83516483516485</v>
      </c>
      <c r="H41">
        <v>-192.30769230769232</v>
      </c>
    </row>
    <row r="42" spans="1:8">
      <c r="A42">
        <v>0</v>
      </c>
      <c r="B42">
        <v>0</v>
      </c>
      <c r="C42">
        <v>0</v>
      </c>
      <c r="D42">
        <v>0</v>
      </c>
      <c r="E42">
        <v>-549.45054945054949</v>
      </c>
      <c r="F42">
        <v>-164.83516483516485</v>
      </c>
      <c r="G42">
        <v>741.75824175824187</v>
      </c>
      <c r="H42">
        <v>0</v>
      </c>
    </row>
    <row r="43" spans="1:8">
      <c r="A43">
        <v>0</v>
      </c>
      <c r="B43">
        <v>0</v>
      </c>
      <c r="C43">
        <v>357.14285714285717</v>
      </c>
      <c r="D43">
        <v>0</v>
      </c>
      <c r="E43">
        <v>-192.30769230769232</v>
      </c>
      <c r="F43">
        <v>-192.30769230769229</v>
      </c>
      <c r="G43">
        <v>-1.4210854715202004E-14</v>
      </c>
      <c r="H43">
        <v>741.75824175824187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"/>
  <dimension ref="A1:H8"/>
  <sheetViews>
    <sheetView workbookViewId="0">
      <selection activeCell="H8" sqref="A1:H8"/>
    </sheetView>
  </sheetViews>
  <sheetFormatPr defaultRowHeight="14.4"/>
  <sheetData>
    <row r="1" spans="1:8">
      <c r="A1" s="1">
        <v>741.75824175824187</v>
      </c>
      <c r="B1" s="1">
        <v>0</v>
      </c>
      <c r="C1" s="1">
        <v>0</v>
      </c>
      <c r="D1" s="1">
        <v>0</v>
      </c>
      <c r="E1" s="1">
        <v>0</v>
      </c>
      <c r="F1" s="1">
        <v>0</v>
      </c>
      <c r="G1" s="1">
        <v>0</v>
      </c>
      <c r="H1" s="1">
        <v>0</v>
      </c>
    </row>
    <row r="2" spans="1:8">
      <c r="A2" s="1">
        <v>0</v>
      </c>
      <c r="B2" s="1">
        <v>741.75824175824187</v>
      </c>
      <c r="C2" s="1">
        <v>0</v>
      </c>
      <c r="D2" s="1">
        <v>0</v>
      </c>
      <c r="E2" s="1">
        <v>0</v>
      </c>
      <c r="F2" s="1">
        <v>0</v>
      </c>
      <c r="G2" s="1">
        <v>0</v>
      </c>
      <c r="H2" s="1">
        <v>0</v>
      </c>
    </row>
    <row r="3" spans="1:8">
      <c r="A3" s="1">
        <v>0</v>
      </c>
      <c r="B3" s="1">
        <v>0</v>
      </c>
      <c r="C3" s="1">
        <v>741.75824175824187</v>
      </c>
      <c r="D3" s="1">
        <v>0</v>
      </c>
      <c r="E3" s="1">
        <v>-192.30769230769232</v>
      </c>
      <c r="F3" s="1">
        <v>-192.30769230769232</v>
      </c>
      <c r="G3" s="1">
        <v>0</v>
      </c>
      <c r="H3" s="1">
        <v>357.14285714285717</v>
      </c>
    </row>
    <row r="4" spans="1:8">
      <c r="A4" s="1">
        <v>0</v>
      </c>
      <c r="B4" s="1">
        <v>0</v>
      </c>
      <c r="C4" s="1">
        <v>0</v>
      </c>
      <c r="D4" s="1">
        <v>741.75824175824187</v>
      </c>
      <c r="E4" s="1">
        <v>0</v>
      </c>
      <c r="F4" s="1">
        <v>0</v>
      </c>
      <c r="G4" s="1">
        <v>0</v>
      </c>
      <c r="H4" s="1">
        <v>0</v>
      </c>
    </row>
    <row r="5" spans="1:8">
      <c r="A5" s="1">
        <v>0</v>
      </c>
      <c r="B5" s="1">
        <v>0</v>
      </c>
      <c r="C5" s="1">
        <v>-192.30769230769232</v>
      </c>
      <c r="D5" s="1">
        <v>0</v>
      </c>
      <c r="E5" s="1">
        <v>741.75824175824187</v>
      </c>
      <c r="F5" s="1">
        <v>357.14285714285717</v>
      </c>
      <c r="G5" s="1">
        <v>-549.45054945054949</v>
      </c>
      <c r="H5" s="1">
        <v>-192.30769230769232</v>
      </c>
    </row>
    <row r="6" spans="1:8">
      <c r="A6" s="1">
        <v>0</v>
      </c>
      <c r="B6" s="1">
        <v>0</v>
      </c>
      <c r="C6" s="1">
        <v>-192.30769230769232</v>
      </c>
      <c r="D6" s="1">
        <v>0</v>
      </c>
      <c r="E6" s="1">
        <v>357.14285714285717</v>
      </c>
      <c r="F6" s="1">
        <v>741.75824175824187</v>
      </c>
      <c r="G6" s="1">
        <v>-164.83516483516485</v>
      </c>
      <c r="H6" s="1">
        <v>-192.30769230769232</v>
      </c>
    </row>
    <row r="7" spans="1:8">
      <c r="A7" s="1">
        <v>0</v>
      </c>
      <c r="B7" s="1">
        <v>0</v>
      </c>
      <c r="C7" s="1">
        <v>0</v>
      </c>
      <c r="D7" s="1">
        <v>0</v>
      </c>
      <c r="E7" s="1">
        <v>-549.45054945054949</v>
      </c>
      <c r="F7" s="1">
        <v>-164.83516483516485</v>
      </c>
      <c r="G7" s="1">
        <v>741.75824175824187</v>
      </c>
      <c r="H7" s="1">
        <v>0</v>
      </c>
    </row>
    <row r="8" spans="1:8">
      <c r="A8" s="1">
        <v>0</v>
      </c>
      <c r="B8" s="1">
        <v>0</v>
      </c>
      <c r="C8" s="1">
        <v>357.14285714285717</v>
      </c>
      <c r="D8" s="1">
        <v>0</v>
      </c>
      <c r="E8" s="1">
        <v>-192.30769230769232</v>
      </c>
      <c r="F8" s="1">
        <v>-192.30769230769232</v>
      </c>
      <c r="G8" s="1">
        <v>0</v>
      </c>
      <c r="H8" s="1">
        <v>741.75824175824187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heckLDLT">
                <anchor moveWithCells="1" sizeWithCells="1">
                  <from>
                    <xdr:col>14</xdr:col>
                    <xdr:colOff>571500</xdr:colOff>
                    <xdr:row>1</xdr:row>
                    <xdr:rowOff>15240</xdr:rowOff>
                  </from>
                  <to>
                    <xdr:col>18</xdr:col>
                    <xdr:colOff>220980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AF11"/>
  <sheetViews>
    <sheetView zoomScale="70" zoomScaleNormal="70" workbookViewId="0">
      <selection activeCell="J21" sqref="J21"/>
    </sheetView>
  </sheetViews>
  <sheetFormatPr defaultRowHeight="14.4"/>
  <cols>
    <col min="1" max="1" width="17.44140625" customWidth="1"/>
  </cols>
  <sheetData>
    <row r="1" spans="1:32">
      <c r="A1" s="1">
        <v>741.75824175824187</v>
      </c>
      <c r="B1" s="1">
        <v>0</v>
      </c>
      <c r="C1" s="1">
        <v>0</v>
      </c>
      <c r="D1" s="1">
        <v>0</v>
      </c>
      <c r="E1" s="1">
        <v>0</v>
      </c>
      <c r="F1" s="1">
        <v>0</v>
      </c>
      <c r="G1" s="1">
        <v>0</v>
      </c>
      <c r="H1" s="1">
        <v>0</v>
      </c>
      <c r="J1" s="1">
        <v>0</v>
      </c>
      <c r="L1">
        <v>0</v>
      </c>
      <c r="M1" s="36" t="s">
        <v>80</v>
      </c>
      <c r="N1">
        <v>0</v>
      </c>
      <c r="O1" s="35" t="s">
        <v>76</v>
      </c>
      <c r="P1">
        <v>1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 s="35" t="s">
        <v>77</v>
      </c>
      <c r="Y1">
        <v>741.75824175824187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</row>
    <row r="2" spans="1:32">
      <c r="A2" s="1">
        <v>0</v>
      </c>
      <c r="B2" s="1">
        <v>741.75824175824187</v>
      </c>
      <c r="C2" s="1">
        <v>0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J2" s="1">
        <v>0</v>
      </c>
      <c r="L2">
        <v>0</v>
      </c>
      <c r="N2">
        <v>0</v>
      </c>
      <c r="P2">
        <v>0</v>
      </c>
      <c r="Q2">
        <v>1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Y2">
        <v>0</v>
      </c>
      <c r="Z2">
        <v>741.75824175824187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</row>
    <row r="3" spans="1:32">
      <c r="A3" s="1">
        <v>0</v>
      </c>
      <c r="B3" s="1">
        <v>0</v>
      </c>
      <c r="C3" s="1">
        <v>741.75824175824187</v>
      </c>
      <c r="D3" s="1">
        <v>0</v>
      </c>
      <c r="E3" s="1">
        <v>-192.30769230769232</v>
      </c>
      <c r="F3" s="1">
        <v>-192.30769230769232</v>
      </c>
      <c r="G3" s="1">
        <v>0</v>
      </c>
      <c r="H3" s="1">
        <v>357.14285714285717</v>
      </c>
      <c r="J3" s="1">
        <v>0</v>
      </c>
      <c r="L3">
        <v>0</v>
      </c>
      <c r="N3">
        <v>0.83793105809173141</v>
      </c>
      <c r="P3">
        <v>0</v>
      </c>
      <c r="Q3">
        <v>0</v>
      </c>
      <c r="R3">
        <v>1</v>
      </c>
      <c r="S3">
        <v>0</v>
      </c>
      <c r="T3">
        <v>0</v>
      </c>
      <c r="U3">
        <v>0</v>
      </c>
      <c r="V3">
        <v>0</v>
      </c>
      <c r="W3">
        <v>0</v>
      </c>
      <c r="Y3">
        <v>0</v>
      </c>
      <c r="Z3">
        <v>0</v>
      </c>
      <c r="AA3">
        <v>741.75824175824187</v>
      </c>
      <c r="AB3">
        <v>0</v>
      </c>
      <c r="AC3">
        <v>-192.30769230769232</v>
      </c>
      <c r="AD3">
        <v>-192.30769230769232</v>
      </c>
      <c r="AE3">
        <v>0</v>
      </c>
      <c r="AF3">
        <v>357.14285714285717</v>
      </c>
    </row>
    <row r="4" spans="1:32">
      <c r="A4" s="1">
        <v>0</v>
      </c>
      <c r="B4" s="1">
        <v>0</v>
      </c>
      <c r="C4" s="1">
        <v>0</v>
      </c>
      <c r="D4" s="1">
        <v>741.75824175824187</v>
      </c>
      <c r="E4" s="1">
        <v>0</v>
      </c>
      <c r="F4" s="1">
        <v>0</v>
      </c>
      <c r="G4" s="1">
        <v>0</v>
      </c>
      <c r="H4" s="1">
        <v>0</v>
      </c>
      <c r="J4" s="1">
        <v>0</v>
      </c>
      <c r="L4">
        <v>0</v>
      </c>
      <c r="N4">
        <v>0</v>
      </c>
      <c r="P4">
        <v>0</v>
      </c>
      <c r="Q4">
        <v>0</v>
      </c>
      <c r="R4">
        <v>0</v>
      </c>
      <c r="S4">
        <v>1</v>
      </c>
      <c r="T4">
        <v>0</v>
      </c>
      <c r="U4">
        <v>0</v>
      </c>
      <c r="V4">
        <v>0</v>
      </c>
      <c r="W4">
        <v>0</v>
      </c>
      <c r="Y4">
        <v>0</v>
      </c>
      <c r="Z4">
        <v>0</v>
      </c>
      <c r="AA4">
        <v>0</v>
      </c>
      <c r="AB4">
        <v>741.75824175824187</v>
      </c>
      <c r="AC4">
        <v>0</v>
      </c>
      <c r="AD4">
        <v>0</v>
      </c>
      <c r="AE4">
        <v>0</v>
      </c>
      <c r="AF4">
        <v>0</v>
      </c>
    </row>
    <row r="5" spans="1:32">
      <c r="A5" s="1">
        <v>0</v>
      </c>
      <c r="B5" s="1">
        <v>0</v>
      </c>
      <c r="C5" s="1">
        <v>-192.30769230769232</v>
      </c>
      <c r="D5" s="1">
        <v>0</v>
      </c>
      <c r="E5" s="1">
        <v>741.75824175824187</v>
      </c>
      <c r="F5" s="1">
        <v>357.14285714285717</v>
      </c>
      <c r="G5" s="1">
        <v>-549.45054945054949</v>
      </c>
      <c r="H5" s="1">
        <v>-192.30769230769232</v>
      </c>
      <c r="J5" s="1">
        <v>200</v>
      </c>
      <c r="L5">
        <v>0</v>
      </c>
      <c r="N5">
        <v>0.31818575069107186</v>
      </c>
      <c r="P5">
        <v>0</v>
      </c>
      <c r="Q5">
        <v>0</v>
      </c>
      <c r="R5">
        <v>-0.25925925925925924</v>
      </c>
      <c r="S5">
        <v>0</v>
      </c>
      <c r="T5">
        <v>1</v>
      </c>
      <c r="U5">
        <v>0</v>
      </c>
      <c r="V5">
        <v>0</v>
      </c>
      <c r="W5">
        <v>0</v>
      </c>
      <c r="Y5">
        <v>0</v>
      </c>
      <c r="Z5">
        <v>0</v>
      </c>
      <c r="AA5">
        <v>0</v>
      </c>
      <c r="AB5">
        <v>0</v>
      </c>
      <c r="AC5">
        <v>691.90069190069198</v>
      </c>
      <c r="AD5">
        <v>307.28530728530734</v>
      </c>
      <c r="AE5">
        <v>-549.45054945054949</v>
      </c>
      <c r="AF5">
        <v>-99.715099715099726</v>
      </c>
    </row>
    <row r="6" spans="1:32">
      <c r="A6" s="1">
        <v>0</v>
      </c>
      <c r="B6" s="1">
        <v>0</v>
      </c>
      <c r="C6" s="1">
        <v>-192.30769230769232</v>
      </c>
      <c r="D6" s="1">
        <v>0</v>
      </c>
      <c r="E6" s="1">
        <v>357.14285714285717</v>
      </c>
      <c r="F6" s="1">
        <v>741.75824175824187</v>
      </c>
      <c r="G6" s="1">
        <v>-164.83516483516485</v>
      </c>
      <c r="H6" s="1">
        <v>-192.30769230769232</v>
      </c>
      <c r="J6" s="1">
        <v>0</v>
      </c>
      <c r="L6">
        <v>0</v>
      </c>
      <c r="N6">
        <v>-0.35800759639952184</v>
      </c>
      <c r="P6">
        <v>0</v>
      </c>
      <c r="Q6">
        <v>0</v>
      </c>
      <c r="R6">
        <v>-0.25925925925925924</v>
      </c>
      <c r="S6">
        <v>0</v>
      </c>
      <c r="T6">
        <v>0.44411764705882351</v>
      </c>
      <c r="U6">
        <v>1</v>
      </c>
      <c r="V6">
        <v>0</v>
      </c>
      <c r="W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555.42986425339382</v>
      </c>
      <c r="AE6">
        <v>79.185520361990939</v>
      </c>
      <c r="AF6">
        <v>-55.429864253393674</v>
      </c>
    </row>
    <row r="7" spans="1:32">
      <c r="A7" s="1">
        <v>0</v>
      </c>
      <c r="B7" s="1">
        <v>0</v>
      </c>
      <c r="C7" s="1">
        <v>0</v>
      </c>
      <c r="D7" s="1">
        <v>0</v>
      </c>
      <c r="E7" s="1">
        <v>-549.45054945054949</v>
      </c>
      <c r="F7" s="1">
        <v>-164.83516483516485</v>
      </c>
      <c r="G7" s="1">
        <v>741.75824175824187</v>
      </c>
      <c r="H7" s="1">
        <v>0</v>
      </c>
      <c r="J7" s="1">
        <v>0</v>
      </c>
      <c r="L7">
        <v>0</v>
      </c>
      <c r="N7">
        <v>0.15616981160636645</v>
      </c>
      <c r="P7">
        <v>0</v>
      </c>
      <c r="Q7">
        <v>0</v>
      </c>
      <c r="R7">
        <v>0</v>
      </c>
      <c r="S7">
        <v>0</v>
      </c>
      <c r="T7">
        <v>-0.79411764705882348</v>
      </c>
      <c r="U7">
        <v>0.1425661914460285</v>
      </c>
      <c r="V7">
        <v>1</v>
      </c>
      <c r="W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294.1406861977128</v>
      </c>
      <c r="AF7">
        <v>0</v>
      </c>
    </row>
    <row r="8" spans="1:32">
      <c r="A8" s="1">
        <v>0</v>
      </c>
      <c r="B8" s="1">
        <v>0</v>
      </c>
      <c r="C8" s="1">
        <v>357.14285714285717</v>
      </c>
      <c r="D8" s="1">
        <v>0</v>
      </c>
      <c r="E8" s="1">
        <v>-192.30769230769232</v>
      </c>
      <c r="F8" s="1">
        <v>-192.30769230769232</v>
      </c>
      <c r="G8" s="1">
        <v>0</v>
      </c>
      <c r="H8" s="1">
        <v>741.75824175824187</v>
      </c>
      <c r="J8" s="1">
        <v>-1000</v>
      </c>
      <c r="L8">
        <v>0</v>
      </c>
      <c r="N8">
        <v>-1.7617611043774712</v>
      </c>
      <c r="P8">
        <v>0</v>
      </c>
      <c r="Q8">
        <v>0</v>
      </c>
      <c r="R8">
        <v>0.48148148148148145</v>
      </c>
      <c r="S8">
        <v>0</v>
      </c>
      <c r="T8">
        <v>-0.14411764705882352</v>
      </c>
      <c r="U8">
        <v>-9.9796334012219948E-2</v>
      </c>
      <c r="V8">
        <v>0</v>
      </c>
      <c r="W8">
        <v>1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549.89816700611004</v>
      </c>
    </row>
    <row r="9" spans="1:32">
      <c r="A9" t="s">
        <v>0</v>
      </c>
      <c r="J9" t="s">
        <v>1</v>
      </c>
      <c r="L9" s="7" t="s">
        <v>2</v>
      </c>
    </row>
    <row r="10" spans="1:32">
      <c r="A10" t="s">
        <v>81</v>
      </c>
      <c r="B10">
        <v>3</v>
      </c>
    </row>
    <row r="11" spans="1:32">
      <c r="A11" t="s">
        <v>82</v>
      </c>
      <c r="B11">
        <v>1.1894863574290933E-4</v>
      </c>
    </row>
  </sheetData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T64"/>
  <sheetViews>
    <sheetView workbookViewId="0">
      <selection activeCell="S11" sqref="S11"/>
    </sheetView>
  </sheetViews>
  <sheetFormatPr defaultRowHeight="14.4"/>
  <cols>
    <col min="10" max="10" width="12" bestFit="1" customWidth="1"/>
  </cols>
  <sheetData>
    <row r="1" spans="1:17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</row>
    <row r="2" spans="1:17">
      <c r="A2">
        <v>1</v>
      </c>
      <c r="B2" s="1">
        <v>741.75824175824187</v>
      </c>
      <c r="C2" s="1">
        <v>0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>
        <f t="array" ref="J2">MDETERM(B2:I9)</f>
        <v>1.8226264547950714E+22</v>
      </c>
    </row>
    <row r="3" spans="1:17">
      <c r="A3">
        <v>2</v>
      </c>
      <c r="B3" s="1">
        <v>0</v>
      </c>
      <c r="C3" s="1">
        <v>741.75824175824187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0</v>
      </c>
    </row>
    <row r="4" spans="1:17">
      <c r="A4">
        <v>3</v>
      </c>
      <c r="B4" s="1">
        <v>0</v>
      </c>
      <c r="C4" s="1">
        <v>0</v>
      </c>
      <c r="D4" s="1">
        <v>741.75824175824187</v>
      </c>
      <c r="E4" s="1">
        <v>0</v>
      </c>
      <c r="F4" s="1">
        <v>-192.30769230769232</v>
      </c>
      <c r="G4" s="1">
        <v>-192.30769230769232</v>
      </c>
      <c r="H4" s="1">
        <v>0</v>
      </c>
      <c r="I4" s="1">
        <v>357.14285714285717</v>
      </c>
    </row>
    <row r="5" spans="1:17">
      <c r="A5">
        <v>4</v>
      </c>
      <c r="B5" s="1">
        <v>0</v>
      </c>
      <c r="C5" s="1">
        <v>0</v>
      </c>
      <c r="D5" s="1">
        <v>0</v>
      </c>
      <c r="E5" s="1">
        <v>741.75824175824187</v>
      </c>
      <c r="F5" s="1">
        <v>0</v>
      </c>
      <c r="G5" s="1">
        <v>0</v>
      </c>
      <c r="H5" s="1">
        <v>0</v>
      </c>
      <c r="I5" s="1">
        <v>0</v>
      </c>
    </row>
    <row r="6" spans="1:17">
      <c r="A6">
        <v>5</v>
      </c>
      <c r="B6" s="1">
        <v>0</v>
      </c>
      <c r="C6" s="1">
        <v>0</v>
      </c>
      <c r="D6" s="1">
        <v>-192.30769230769232</v>
      </c>
      <c r="E6" s="1">
        <v>0</v>
      </c>
      <c r="F6" s="1">
        <v>741.75824175824187</v>
      </c>
      <c r="G6" s="1">
        <v>357.14285714285717</v>
      </c>
      <c r="H6" s="1">
        <v>-549.45054945054949</v>
      </c>
      <c r="I6" s="1">
        <v>-192.30769230769232</v>
      </c>
    </row>
    <row r="7" spans="1:17">
      <c r="A7">
        <v>6</v>
      </c>
      <c r="B7" s="1">
        <v>0</v>
      </c>
      <c r="C7" s="1">
        <v>0</v>
      </c>
      <c r="D7" s="1">
        <v>-192.30769230769232</v>
      </c>
      <c r="E7" s="1">
        <v>0</v>
      </c>
      <c r="F7" s="1">
        <v>357.14285714285717</v>
      </c>
      <c r="G7" s="1">
        <v>741.75824175824187</v>
      </c>
      <c r="H7" s="1">
        <v>-164.83516483516485</v>
      </c>
      <c r="I7" s="1">
        <v>-192.30769230769232</v>
      </c>
    </row>
    <row r="8" spans="1:17">
      <c r="A8">
        <v>7</v>
      </c>
      <c r="B8" s="1">
        <v>0</v>
      </c>
      <c r="C8" s="1">
        <v>0</v>
      </c>
      <c r="D8" s="1">
        <v>0</v>
      </c>
      <c r="E8" s="1">
        <v>0</v>
      </c>
      <c r="F8" s="1">
        <v>-549.45054945054949</v>
      </c>
      <c r="G8" s="1">
        <v>-164.83516483516485</v>
      </c>
      <c r="H8" s="1">
        <v>741.75824175824187</v>
      </c>
      <c r="I8" s="1">
        <v>0</v>
      </c>
    </row>
    <row r="9" spans="1:17">
      <c r="A9">
        <v>8</v>
      </c>
      <c r="B9" s="1">
        <v>0</v>
      </c>
      <c r="C9" s="1">
        <v>0</v>
      </c>
      <c r="D9" s="1">
        <v>357.14285714285717</v>
      </c>
      <c r="E9" s="1">
        <v>0</v>
      </c>
      <c r="F9" s="1">
        <v>-192.30769230769232</v>
      </c>
      <c r="G9" s="1">
        <v>-192.30769230769232</v>
      </c>
      <c r="H9" s="1">
        <v>0</v>
      </c>
      <c r="I9" s="1">
        <v>741.75824175824187</v>
      </c>
    </row>
    <row r="10" spans="1:17">
      <c r="B10" t="s">
        <v>69</v>
      </c>
    </row>
    <row r="11" spans="1:17">
      <c r="B11">
        <v>1</v>
      </c>
      <c r="C11">
        <v>2</v>
      </c>
      <c r="D11">
        <v>3</v>
      </c>
      <c r="E11">
        <v>4</v>
      </c>
      <c r="F11">
        <v>5</v>
      </c>
      <c r="G11">
        <v>6</v>
      </c>
      <c r="H11">
        <v>7</v>
      </c>
      <c r="I11">
        <v>8</v>
      </c>
    </row>
    <row r="12" spans="1:17">
      <c r="A12">
        <v>1</v>
      </c>
      <c r="B12" s="30">
        <f>B2</f>
        <v>741.75824175824187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Q12" s="1">
        <v>0</v>
      </c>
    </row>
    <row r="13" spans="1:17">
      <c r="A13">
        <v>2</v>
      </c>
      <c r="B13" s="1">
        <v>0</v>
      </c>
      <c r="C13" s="30">
        <f>C3-$B$13*C12</f>
        <v>741.75824175824187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Q13" s="1">
        <v>0</v>
      </c>
    </row>
    <row r="14" spans="1:17">
      <c r="A14">
        <v>3</v>
      </c>
      <c r="B14" s="1">
        <v>0</v>
      </c>
      <c r="C14" s="1">
        <v>0</v>
      </c>
      <c r="D14" s="30">
        <f>D4-$B$14*$D$12-$C$14*$D$13</f>
        <v>741.75824175824187</v>
      </c>
      <c r="E14" s="1">
        <v>0</v>
      </c>
      <c r="F14" s="30">
        <f t="shared" ref="F14:G14" si="0">F4-$B$14*$D$12-$C$14*$D$13</f>
        <v>-192.30769230769232</v>
      </c>
      <c r="G14" s="30">
        <f t="shared" si="0"/>
        <v>-192.30769230769232</v>
      </c>
      <c r="H14" s="1">
        <v>0</v>
      </c>
      <c r="I14" s="30">
        <f>I4-$B$14*$D$12-$C$14*$D$13</f>
        <v>357.14285714285717</v>
      </c>
      <c r="Q14" s="1">
        <v>0</v>
      </c>
    </row>
    <row r="15" spans="1:17">
      <c r="A15">
        <v>4</v>
      </c>
      <c r="B15" s="1">
        <v>0</v>
      </c>
      <c r="C15" s="1">
        <v>0</v>
      </c>
      <c r="D15" s="1">
        <v>0</v>
      </c>
      <c r="E15" s="30">
        <f>E5-$B$15*$E$12-$C$15*$E$13-$D$15*$E$14</f>
        <v>741.75824175824187</v>
      </c>
      <c r="F15" s="1">
        <v>0</v>
      </c>
      <c r="G15" s="1">
        <v>0</v>
      </c>
      <c r="H15" s="1">
        <v>0</v>
      </c>
      <c r="I15" s="1">
        <v>0</v>
      </c>
      <c r="Q15" s="1">
        <v>0</v>
      </c>
    </row>
    <row r="16" spans="1:17">
      <c r="A16">
        <v>5</v>
      </c>
      <c r="B16" s="1">
        <v>0</v>
      </c>
      <c r="C16" s="1">
        <v>0</v>
      </c>
      <c r="D16" s="30">
        <f>(D6-B16*$D$12-C16*$D$13)/$D$14</f>
        <v>-0.25925925925925924</v>
      </c>
      <c r="E16" s="1">
        <v>0</v>
      </c>
      <c r="F16" s="30">
        <f>F6-$B$16*$F$12-$C$16*$F$13-$D$16*$F$14-$E$16*$F$15</f>
        <v>691.90069190069198</v>
      </c>
      <c r="G16" s="30">
        <f t="shared" ref="G16:I16" si="1">G6-$B$16*$F$12-$C$16*$F$13-$D$16*$F$14-$E$16*$F$15</f>
        <v>307.28530728530734</v>
      </c>
      <c r="H16" s="30">
        <f t="shared" si="1"/>
        <v>-599.30809930809937</v>
      </c>
      <c r="I16" s="30">
        <f t="shared" si="1"/>
        <v>-242.16524216524218</v>
      </c>
      <c r="Q16" s="1">
        <v>200</v>
      </c>
    </row>
    <row r="17" spans="1:17">
      <c r="A17">
        <v>6</v>
      </c>
      <c r="B17" s="1">
        <v>0</v>
      </c>
      <c r="C17" s="1">
        <v>0</v>
      </c>
      <c r="D17" s="30">
        <f t="shared" ref="D17:D19" si="2">(D7-B17*$D$12-C17*$D$13)/$D$14</f>
        <v>-0.25925925925925924</v>
      </c>
      <c r="E17" s="1">
        <v>0</v>
      </c>
      <c r="F17" s="30">
        <f>(F7-B17*$F$12-C17*$F$13-D17*$F$14-E17*$F$15)/$F$16</f>
        <v>0.44411764705882356</v>
      </c>
      <c r="G17" s="30">
        <f>G7-$B$17*$G$12-$C$17*$G$13-$D$17*$G$14-$E$17*$G$15-$F$17*$G$16</f>
        <v>555.4298642533937</v>
      </c>
      <c r="H17" s="30">
        <f t="shared" ref="H17:I17" si="3">H7-$B$17*$G$12-$C$17*$G$13-$D$17*$G$14-$E$17*$G$15-$F$17*$G$16</f>
        <v>-351.16354234001301</v>
      </c>
      <c r="I17" s="30">
        <f t="shared" si="3"/>
        <v>-378.63606981254043</v>
      </c>
      <c r="Q17" s="1">
        <v>0</v>
      </c>
    </row>
    <row r="18" spans="1:17">
      <c r="A18">
        <v>7</v>
      </c>
      <c r="B18" s="1">
        <v>0</v>
      </c>
      <c r="C18" s="1">
        <v>0</v>
      </c>
      <c r="D18" s="1">
        <v>0</v>
      </c>
      <c r="E18" s="1">
        <v>0</v>
      </c>
      <c r="F18" s="30">
        <f t="shared" ref="F18:F19" si="4">(F8-B18*$F$12-C18*$F$13-D18*$F$14-E18*$F$15)/$F$16</f>
        <v>-0.79411764705882348</v>
      </c>
      <c r="G18" s="30">
        <f>(G8-B18*$G$12-C18*$G$13-D18*$G$14-E18*$G$15-F18*$G$16)/$G$17</f>
        <v>0.14256619144602853</v>
      </c>
      <c r="H18" s="30">
        <f>H8-$B$18*$H$12-$C$18*$H$13-$D$18*$H$14-$E$18*H15-$F$18*$H$16-$G$18*$H$17</f>
        <v>315.90115287851012</v>
      </c>
      <c r="I18" s="1">
        <v>0</v>
      </c>
      <c r="Q18" s="1">
        <v>0</v>
      </c>
    </row>
    <row r="19" spans="1:17">
      <c r="A19">
        <v>8</v>
      </c>
      <c r="B19" s="1">
        <v>0</v>
      </c>
      <c r="C19" s="1">
        <v>0</v>
      </c>
      <c r="D19" s="30">
        <f t="shared" si="2"/>
        <v>0.48148148148148145</v>
      </c>
      <c r="E19" s="1">
        <v>0</v>
      </c>
      <c r="F19" s="30">
        <f t="shared" si="4"/>
        <v>-0.14411764705882352</v>
      </c>
      <c r="G19" s="30">
        <f>(G9-B19*$G$12-C19*$G$13-D19*$G$14-E19*$G$15-F19*$G$16)/$G$17</f>
        <v>-9.9796334012219975E-2</v>
      </c>
      <c r="H19" s="1">
        <v>0</v>
      </c>
      <c r="I19" s="30">
        <f>I9-B19*I12-C19*I13-D19*I14-E19*I15-F19*I16-G19*I17-H19*I18</f>
        <v>497.11379320819856</v>
      </c>
      <c r="Q19" s="1">
        <v>-1000</v>
      </c>
    </row>
    <row r="20" spans="1:17">
      <c r="Q20" t="s">
        <v>3</v>
      </c>
    </row>
    <row r="21" spans="1:17" ht="17.399999999999999">
      <c r="B21" s="34" t="s">
        <v>68</v>
      </c>
    </row>
    <row r="35" spans="1:20">
      <c r="L35" t="s">
        <v>73</v>
      </c>
      <c r="T35" t="s">
        <v>72</v>
      </c>
    </row>
    <row r="36" spans="1:20">
      <c r="A36" t="s">
        <v>59</v>
      </c>
      <c r="B36" s="1">
        <v>1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K36">
        <f t="array" ref="K36:R43">MINVERSE(B36:I43)</f>
        <v>1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T36">
        <f t="array" ref="T36:T43">MMULT(K36:R43,Q12:Q19)</f>
        <v>0</v>
      </c>
    </row>
    <row r="37" spans="1:20">
      <c r="B37" s="1">
        <v>0</v>
      </c>
      <c r="C37" s="1">
        <v>1</v>
      </c>
      <c r="D37" s="1">
        <v>0</v>
      </c>
      <c r="E37" s="1">
        <v>0</v>
      </c>
      <c r="F37" s="1">
        <v>0</v>
      </c>
      <c r="G37" s="1">
        <v>0</v>
      </c>
      <c r="H37" s="1">
        <v>0</v>
      </c>
      <c r="I37" s="1">
        <v>0</v>
      </c>
      <c r="K37">
        <v>0</v>
      </c>
      <c r="L37">
        <v>1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T37">
        <v>0</v>
      </c>
    </row>
    <row r="38" spans="1:20">
      <c r="B38" s="1">
        <v>0</v>
      </c>
      <c r="C38" s="1">
        <v>0</v>
      </c>
      <c r="D38" s="1">
        <v>1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  <c r="K38">
        <v>0</v>
      </c>
      <c r="L38">
        <v>0</v>
      </c>
      <c r="M38">
        <v>1</v>
      </c>
      <c r="N38">
        <v>0</v>
      </c>
      <c r="O38">
        <v>0</v>
      </c>
      <c r="P38">
        <v>0</v>
      </c>
      <c r="Q38">
        <v>0</v>
      </c>
      <c r="R38">
        <v>0</v>
      </c>
      <c r="T38">
        <v>0</v>
      </c>
    </row>
    <row r="39" spans="1:20">
      <c r="B39" s="1">
        <v>0</v>
      </c>
      <c r="C39" s="1">
        <v>0</v>
      </c>
      <c r="D39" s="1">
        <v>0</v>
      </c>
      <c r="E39" s="1">
        <v>1</v>
      </c>
      <c r="F39" s="1">
        <v>0</v>
      </c>
      <c r="G39" s="1">
        <v>0</v>
      </c>
      <c r="H39" s="1">
        <v>0</v>
      </c>
      <c r="I39" s="1">
        <v>0</v>
      </c>
      <c r="K39">
        <v>0</v>
      </c>
      <c r="L39">
        <v>0</v>
      </c>
      <c r="M39">
        <v>0</v>
      </c>
      <c r="N39">
        <v>1</v>
      </c>
      <c r="O39">
        <v>0</v>
      </c>
      <c r="P39">
        <v>0</v>
      </c>
      <c r="Q39">
        <v>0</v>
      </c>
      <c r="R39">
        <v>0</v>
      </c>
      <c r="T39">
        <v>0</v>
      </c>
    </row>
    <row r="40" spans="1:20">
      <c r="B40" s="1">
        <v>0</v>
      </c>
      <c r="C40" s="1">
        <v>0</v>
      </c>
      <c r="D40" s="1">
        <v>-0.25925925925925924</v>
      </c>
      <c r="E40" s="1">
        <v>0</v>
      </c>
      <c r="F40" s="1">
        <v>1</v>
      </c>
      <c r="G40" s="1">
        <v>0</v>
      </c>
      <c r="H40" s="1">
        <v>0</v>
      </c>
      <c r="I40" s="1">
        <v>0</v>
      </c>
      <c r="K40">
        <v>0</v>
      </c>
      <c r="L40">
        <v>0</v>
      </c>
      <c r="M40">
        <v>0.25925925925925924</v>
      </c>
      <c r="N40">
        <v>0</v>
      </c>
      <c r="O40">
        <v>1</v>
      </c>
      <c r="P40">
        <v>0</v>
      </c>
      <c r="Q40">
        <v>0</v>
      </c>
      <c r="R40">
        <v>0</v>
      </c>
      <c r="T40">
        <v>200</v>
      </c>
    </row>
    <row r="41" spans="1:20">
      <c r="B41" s="1">
        <v>0</v>
      </c>
      <c r="C41" s="1">
        <v>0</v>
      </c>
      <c r="D41" s="1">
        <v>-0.25925925925925924</v>
      </c>
      <c r="E41" s="1">
        <v>0</v>
      </c>
      <c r="F41" s="1">
        <v>0.44411764705882356</v>
      </c>
      <c r="G41" s="1">
        <v>1</v>
      </c>
      <c r="H41" s="1">
        <v>0</v>
      </c>
      <c r="I41" s="1">
        <v>0</v>
      </c>
      <c r="K41">
        <v>0</v>
      </c>
      <c r="L41">
        <v>0</v>
      </c>
      <c r="M41">
        <v>0.14411764705882352</v>
      </c>
      <c r="N41">
        <v>0</v>
      </c>
      <c r="O41">
        <v>-0.44411764705882356</v>
      </c>
      <c r="P41">
        <v>1</v>
      </c>
      <c r="Q41">
        <v>0</v>
      </c>
      <c r="R41">
        <v>0</v>
      </c>
      <c r="T41">
        <v>-88.82352941176471</v>
      </c>
    </row>
    <row r="42" spans="1:20">
      <c r="B42" s="1">
        <v>0</v>
      </c>
      <c r="C42" s="1">
        <v>0</v>
      </c>
      <c r="D42" s="1">
        <v>0</v>
      </c>
      <c r="E42" s="1">
        <v>0</v>
      </c>
      <c r="F42" s="1">
        <v>-0.79411764705882348</v>
      </c>
      <c r="G42" s="1">
        <v>0.14256619144602853</v>
      </c>
      <c r="H42" s="1">
        <v>1</v>
      </c>
      <c r="I42" s="1">
        <v>0</v>
      </c>
      <c r="K42">
        <v>0</v>
      </c>
      <c r="L42">
        <v>0</v>
      </c>
      <c r="M42">
        <v>0.18533604887983707</v>
      </c>
      <c r="N42">
        <v>0</v>
      </c>
      <c r="O42">
        <v>0.85743380855397144</v>
      </c>
      <c r="P42">
        <v>-0.14256619144602853</v>
      </c>
      <c r="Q42">
        <v>1</v>
      </c>
      <c r="R42">
        <v>0</v>
      </c>
      <c r="T42">
        <v>171.4867617107943</v>
      </c>
    </row>
    <row r="43" spans="1:20">
      <c r="B43" s="1">
        <v>0</v>
      </c>
      <c r="C43" s="1">
        <v>0</v>
      </c>
      <c r="D43" s="1">
        <v>0.48148148148148145</v>
      </c>
      <c r="E43" s="1">
        <v>0</v>
      </c>
      <c r="F43" s="1">
        <v>-0.14411764705882352</v>
      </c>
      <c r="G43" s="1">
        <v>-9.9796334012219975E-2</v>
      </c>
      <c r="H43" s="1">
        <v>0</v>
      </c>
      <c r="I43" s="1">
        <v>1</v>
      </c>
      <c r="K43">
        <v>0</v>
      </c>
      <c r="L43">
        <v>0</v>
      </c>
      <c r="M43">
        <v>-0.42973523421588594</v>
      </c>
      <c r="N43">
        <v>0</v>
      </c>
      <c r="O43">
        <v>9.9796334012219934E-2</v>
      </c>
      <c r="P43">
        <v>9.9796334012219975E-2</v>
      </c>
      <c r="Q43">
        <v>0</v>
      </c>
      <c r="R43">
        <v>1</v>
      </c>
      <c r="T43">
        <v>-980.04073319755605</v>
      </c>
    </row>
    <row r="44" spans="1:20">
      <c r="M44" t="s">
        <v>71</v>
      </c>
      <c r="T44" t="s">
        <v>74</v>
      </c>
    </row>
    <row r="45" spans="1:20">
      <c r="A45" t="s">
        <v>70</v>
      </c>
      <c r="B45" s="1">
        <v>741.75824175824187</v>
      </c>
      <c r="C45" s="1">
        <v>0</v>
      </c>
      <c r="D45" s="1">
        <v>0</v>
      </c>
      <c r="E45" s="1">
        <v>0</v>
      </c>
      <c r="F45" s="1">
        <v>0</v>
      </c>
      <c r="G45" s="1">
        <v>0</v>
      </c>
      <c r="H45" s="1">
        <v>0</v>
      </c>
      <c r="I45" s="1">
        <v>0</v>
      </c>
      <c r="K45" s="1">
        <f t="array" ref="K45:R52">MINVERSE(B45:I52)</f>
        <v>1.348148148148148E-3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T45">
        <f t="array" ref="T45:T52">MMULT(K45:R52,T36:T43)</f>
        <v>0</v>
      </c>
    </row>
    <row r="46" spans="1:20">
      <c r="B46" s="1">
        <v>0</v>
      </c>
      <c r="C46" s="1">
        <v>741.75824175824187</v>
      </c>
      <c r="D46" s="1">
        <v>0</v>
      </c>
      <c r="E46" s="1">
        <v>0</v>
      </c>
      <c r="F46" s="1">
        <v>0</v>
      </c>
      <c r="G46" s="1">
        <v>0</v>
      </c>
      <c r="H46" s="1">
        <v>0</v>
      </c>
      <c r="I46" s="1">
        <v>0</v>
      </c>
      <c r="K46" s="1">
        <v>0</v>
      </c>
      <c r="L46" s="1">
        <v>1.348148148148148E-3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T46">
        <v>0</v>
      </c>
    </row>
    <row r="47" spans="1:20">
      <c r="B47" s="1">
        <v>0</v>
      </c>
      <c r="C47" s="1">
        <v>0</v>
      </c>
      <c r="D47" s="1">
        <v>741.75824175824187</v>
      </c>
      <c r="E47" s="1">
        <v>0</v>
      </c>
      <c r="F47" s="1">
        <v>-192.30769230769232</v>
      </c>
      <c r="G47" s="1">
        <v>-192.30769230769232</v>
      </c>
      <c r="H47" s="1">
        <v>0</v>
      </c>
      <c r="I47" s="1">
        <v>357.14285714285717</v>
      </c>
      <c r="K47" s="1">
        <v>0</v>
      </c>
      <c r="L47" s="1">
        <v>0</v>
      </c>
      <c r="M47" s="1">
        <v>1.348148148148148E-3</v>
      </c>
      <c r="N47" s="1">
        <v>0</v>
      </c>
      <c r="O47" s="1">
        <v>3.7470588235294112E-4</v>
      </c>
      <c r="P47" s="1">
        <v>2.5947046843177187E-4</v>
      </c>
      <c r="Q47" s="1">
        <v>9.9930258596122993E-4</v>
      </c>
      <c r="R47" s="1">
        <v>-5.8838814439979585E-4</v>
      </c>
      <c r="T47">
        <v>0.79990560656439369</v>
      </c>
    </row>
    <row r="48" spans="1:20">
      <c r="B48" s="1">
        <v>0</v>
      </c>
      <c r="C48" s="1">
        <v>0</v>
      </c>
      <c r="D48" s="1">
        <v>0</v>
      </c>
      <c r="E48" s="1">
        <v>741.75824175824187</v>
      </c>
      <c r="F48" s="1">
        <v>0</v>
      </c>
      <c r="G48" s="1">
        <v>0</v>
      </c>
      <c r="H48" s="1">
        <v>0</v>
      </c>
      <c r="I48" s="1">
        <v>0</v>
      </c>
      <c r="K48" s="1">
        <v>0</v>
      </c>
      <c r="L48" s="1">
        <v>0</v>
      </c>
      <c r="M48" s="1">
        <v>0</v>
      </c>
      <c r="N48" s="1">
        <v>1.348148148148148E-3</v>
      </c>
      <c r="O48" s="1">
        <v>0</v>
      </c>
      <c r="P48" s="1">
        <v>0</v>
      </c>
      <c r="Q48" s="1">
        <v>0</v>
      </c>
      <c r="R48" s="1">
        <v>0</v>
      </c>
      <c r="T48">
        <v>0</v>
      </c>
    </row>
    <row r="49" spans="2:20">
      <c r="B49" s="1">
        <v>0</v>
      </c>
      <c r="C49" s="1">
        <v>0</v>
      </c>
      <c r="D49" s="1">
        <v>0</v>
      </c>
      <c r="E49" s="1">
        <v>0</v>
      </c>
      <c r="F49" s="1">
        <v>691.90069190069198</v>
      </c>
      <c r="G49" s="1">
        <v>307.28530728530734</v>
      </c>
      <c r="H49" s="1">
        <v>-599.30809930809937</v>
      </c>
      <c r="I49" s="1">
        <v>-242.16524216524218</v>
      </c>
      <c r="K49" s="1">
        <v>0</v>
      </c>
      <c r="L49" s="1">
        <v>0</v>
      </c>
      <c r="M49" s="1">
        <v>0</v>
      </c>
      <c r="N49" s="1">
        <v>0</v>
      </c>
      <c r="O49" s="1">
        <v>1.4452941176470587E-3</v>
      </c>
      <c r="P49" s="1">
        <v>-7.9959266802443981E-4</v>
      </c>
      <c r="Q49" s="1">
        <v>1.8530754684545291E-3</v>
      </c>
      <c r="R49" s="1">
        <v>9.5039355925727865E-5</v>
      </c>
      <c r="T49">
        <v>0.5847169376220186</v>
      </c>
    </row>
    <row r="50" spans="2:20">
      <c r="B50" s="1">
        <v>0</v>
      </c>
      <c r="C50" s="1">
        <v>0</v>
      </c>
      <c r="D50" s="1">
        <v>0</v>
      </c>
      <c r="E50" s="1">
        <v>0</v>
      </c>
      <c r="F50" s="1">
        <v>0</v>
      </c>
      <c r="G50" s="1">
        <v>555.4298642533937</v>
      </c>
      <c r="H50" s="1">
        <v>-351.16354234001301</v>
      </c>
      <c r="I50" s="1">
        <v>-378.63606981254043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1.8004073319755599E-3</v>
      </c>
      <c r="Q50" s="1">
        <v>2.0013773631102146E-3</v>
      </c>
      <c r="R50" s="1">
        <v>1.3713141046468652E-3</v>
      </c>
      <c r="T50">
        <v>-1.1606524912060925</v>
      </c>
    </row>
    <row r="51" spans="2:20">
      <c r="B51" s="1">
        <v>0</v>
      </c>
      <c r="C51" s="1">
        <v>0</v>
      </c>
      <c r="D51" s="1">
        <v>0</v>
      </c>
      <c r="E51" s="1">
        <v>0</v>
      </c>
      <c r="F51" s="1">
        <v>0</v>
      </c>
      <c r="G51" s="1">
        <v>0</v>
      </c>
      <c r="H51" s="1">
        <v>315.90115287851012</v>
      </c>
      <c r="I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3.1655471684352539E-3</v>
      </c>
      <c r="R51" s="1">
        <v>0</v>
      </c>
      <c r="T51">
        <v>0.54284943295773602</v>
      </c>
    </row>
    <row r="52" spans="2:20">
      <c r="B52" s="1">
        <v>0</v>
      </c>
      <c r="C52" s="1">
        <v>0</v>
      </c>
      <c r="D52" s="1">
        <v>0</v>
      </c>
      <c r="E52" s="1">
        <v>0</v>
      </c>
      <c r="F52" s="1">
        <v>0</v>
      </c>
      <c r="G52" s="1">
        <v>0</v>
      </c>
      <c r="H52" s="1">
        <v>0</v>
      </c>
      <c r="I52" s="1">
        <v>497.11379320819856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2.0116118556002031E-3</v>
      </c>
      <c r="T52">
        <v>-1.9714615578713193</v>
      </c>
    </row>
    <row r="55" spans="2:20">
      <c r="B55" t="s">
        <v>75</v>
      </c>
      <c r="D55" t="s">
        <v>74</v>
      </c>
    </row>
    <row r="56" spans="2:20">
      <c r="B56" s="1">
        <v>0</v>
      </c>
      <c r="D56">
        <v>0</v>
      </c>
    </row>
    <row r="57" spans="2:20">
      <c r="B57" s="1">
        <v>0</v>
      </c>
      <c r="D57">
        <v>0</v>
      </c>
    </row>
    <row r="58" spans="2:20">
      <c r="B58" s="1">
        <v>0</v>
      </c>
      <c r="D58">
        <v>0.79990560656439369</v>
      </c>
    </row>
    <row r="59" spans="2:20">
      <c r="B59" s="1">
        <v>0</v>
      </c>
      <c r="D59">
        <v>0</v>
      </c>
    </row>
    <row r="60" spans="2:20">
      <c r="B60" s="1">
        <v>200</v>
      </c>
      <c r="D60">
        <v>0.5847169376220186</v>
      </c>
    </row>
    <row r="61" spans="2:20">
      <c r="B61" s="1">
        <v>0</v>
      </c>
      <c r="D61">
        <v>-1.1606524912060925</v>
      </c>
    </row>
    <row r="62" spans="2:20">
      <c r="B62" s="1">
        <v>0</v>
      </c>
      <c r="D62">
        <v>0.54284943295773602</v>
      </c>
    </row>
    <row r="63" spans="2:20">
      <c r="B63" s="1">
        <v>-1000</v>
      </c>
      <c r="D63">
        <v>-1.9714615578713193</v>
      </c>
    </row>
    <row r="64" spans="2:20">
      <c r="B64" t="s">
        <v>3</v>
      </c>
    </row>
  </sheetData>
  <conditionalFormatting sqref="B2:I9">
    <cfRule type="cellIs" dxfId="14" priority="16" operator="equal">
      <formula>0</formula>
    </cfRule>
  </conditionalFormatting>
  <conditionalFormatting sqref="C12:G12 I12">
    <cfRule type="cellIs" dxfId="13" priority="15" operator="equal">
      <formula>0</formula>
    </cfRule>
  </conditionalFormatting>
  <conditionalFormatting sqref="D13:G13 I13">
    <cfRule type="cellIs" dxfId="12" priority="14" operator="equal">
      <formula>0</formula>
    </cfRule>
  </conditionalFormatting>
  <conditionalFormatting sqref="B13:B19">
    <cfRule type="cellIs" dxfId="11" priority="12" operator="equal">
      <formula>0</formula>
    </cfRule>
  </conditionalFormatting>
  <conditionalFormatting sqref="C14:C19">
    <cfRule type="cellIs" dxfId="10" priority="11" operator="equal">
      <formula>0</formula>
    </cfRule>
  </conditionalFormatting>
  <conditionalFormatting sqref="D15">
    <cfRule type="cellIs" dxfId="9" priority="10" operator="equal">
      <formula>0</formula>
    </cfRule>
  </conditionalFormatting>
  <conditionalFormatting sqref="D18">
    <cfRule type="cellIs" dxfId="8" priority="9" operator="equal">
      <formula>0</formula>
    </cfRule>
  </conditionalFormatting>
  <conditionalFormatting sqref="E14">
    <cfRule type="cellIs" dxfId="7" priority="8" operator="equal">
      <formula>0</formula>
    </cfRule>
  </conditionalFormatting>
  <conditionalFormatting sqref="E16:E19">
    <cfRule type="cellIs" dxfId="6" priority="7" operator="equal">
      <formula>0</formula>
    </cfRule>
  </conditionalFormatting>
  <conditionalFormatting sqref="F15">
    <cfRule type="cellIs" dxfId="5" priority="6" operator="equal">
      <formula>0</formula>
    </cfRule>
  </conditionalFormatting>
  <conditionalFormatting sqref="G15">
    <cfRule type="cellIs" dxfId="4" priority="5" operator="equal">
      <formula>0</formula>
    </cfRule>
  </conditionalFormatting>
  <conditionalFormatting sqref="H12:H15">
    <cfRule type="cellIs" dxfId="3" priority="4" operator="equal">
      <formula>0</formula>
    </cfRule>
  </conditionalFormatting>
  <conditionalFormatting sqref="H19">
    <cfRule type="cellIs" dxfId="2" priority="3" operator="equal">
      <formula>0</formula>
    </cfRule>
  </conditionalFormatting>
  <conditionalFormatting sqref="I15">
    <cfRule type="cellIs" dxfId="1" priority="2" operator="equal">
      <formula>0</formula>
    </cfRule>
  </conditionalFormatting>
  <conditionalFormatting sqref="I18">
    <cfRule type="cellIs" dxfId="0" priority="1" operator="equal">
      <formula>0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AN89"/>
  <sheetViews>
    <sheetView topLeftCell="A16" workbookViewId="0">
      <selection activeCell="I24" sqref="I24"/>
    </sheetView>
  </sheetViews>
  <sheetFormatPr defaultRowHeight="14.4"/>
  <cols>
    <col min="1" max="1" width="34" bestFit="1" customWidth="1"/>
    <col min="2" max="2" width="12.44140625" bestFit="1" customWidth="1"/>
    <col min="3" max="3" width="13.5546875" bestFit="1" customWidth="1"/>
    <col min="4" max="6" width="10.44140625" bestFit="1" customWidth="1"/>
    <col min="7" max="7" width="9.21875" bestFit="1" customWidth="1"/>
    <col min="23" max="23" width="9.109375" bestFit="1" customWidth="1"/>
    <col min="25" max="28" width="9.109375" bestFit="1" customWidth="1"/>
  </cols>
  <sheetData>
    <row r="1" spans="1:40" ht="15" thickBot="1">
      <c r="A1" s="9">
        <v>741.75824175824187</v>
      </c>
      <c r="B1" s="10">
        <v>0</v>
      </c>
      <c r="C1" s="10">
        <v>0</v>
      </c>
      <c r="D1" s="10">
        <v>0</v>
      </c>
      <c r="E1" s="10">
        <v>0</v>
      </c>
      <c r="F1" s="10">
        <v>0</v>
      </c>
      <c r="G1" s="10">
        <v>0</v>
      </c>
      <c r="H1" s="10">
        <v>0</v>
      </c>
      <c r="J1" s="1">
        <v>0</v>
      </c>
      <c r="O1" s="35"/>
    </row>
    <row r="2" spans="1:40" ht="15" thickBot="1">
      <c r="A2" s="12">
        <v>0</v>
      </c>
      <c r="B2" s="13">
        <v>741.75824175824187</v>
      </c>
      <c r="C2" s="13">
        <v>0</v>
      </c>
      <c r="D2" s="13">
        <v>0</v>
      </c>
      <c r="E2" s="13">
        <v>0</v>
      </c>
      <c r="F2" s="13">
        <v>0</v>
      </c>
      <c r="G2" s="13">
        <v>0</v>
      </c>
      <c r="H2" s="13">
        <v>0</v>
      </c>
      <c r="J2" s="1">
        <v>0</v>
      </c>
      <c r="O2" s="48"/>
      <c r="P2" s="48"/>
      <c r="Q2" s="48"/>
      <c r="R2" s="48"/>
      <c r="S2" s="48"/>
    </row>
    <row r="3" spans="1:40" ht="15" thickBot="1">
      <c r="A3" s="12">
        <v>0</v>
      </c>
      <c r="B3" s="13">
        <v>0</v>
      </c>
      <c r="C3" s="13">
        <v>741.75824175824187</v>
      </c>
      <c r="D3" s="13">
        <v>0</v>
      </c>
      <c r="E3" s="13">
        <v>-192.30769230769232</v>
      </c>
      <c r="F3" s="13">
        <v>-192.30769230769232</v>
      </c>
      <c r="G3" s="13">
        <v>0</v>
      </c>
      <c r="H3" s="14">
        <v>357.14285714285717</v>
      </c>
      <c r="J3" s="1">
        <v>0</v>
      </c>
      <c r="O3" s="48"/>
      <c r="P3" s="48"/>
      <c r="Q3" s="48"/>
      <c r="R3" s="48"/>
      <c r="S3" s="48"/>
    </row>
    <row r="4" spans="1:40" ht="15" thickBot="1">
      <c r="A4" s="12">
        <v>0</v>
      </c>
      <c r="B4" s="13">
        <v>0</v>
      </c>
      <c r="C4" s="13">
        <v>0</v>
      </c>
      <c r="D4" s="13">
        <v>741.75824175824187</v>
      </c>
      <c r="E4" s="13">
        <v>0</v>
      </c>
      <c r="F4" s="13">
        <v>0</v>
      </c>
      <c r="G4" s="13">
        <v>0</v>
      </c>
      <c r="H4" s="13">
        <v>0</v>
      </c>
      <c r="J4" s="1">
        <v>0</v>
      </c>
      <c r="O4" s="48"/>
      <c r="P4" s="48"/>
      <c r="Q4" s="48"/>
      <c r="R4" s="48"/>
      <c r="S4" s="48"/>
    </row>
    <row r="5" spans="1:40" ht="15" thickBot="1">
      <c r="A5" s="12">
        <v>0</v>
      </c>
      <c r="B5" s="13">
        <v>0</v>
      </c>
      <c r="C5" s="13">
        <v>-192.30769230769232</v>
      </c>
      <c r="D5" s="13">
        <v>0</v>
      </c>
      <c r="E5" s="13">
        <v>741.75824175824187</v>
      </c>
      <c r="F5" s="13">
        <v>357.14285714285717</v>
      </c>
      <c r="G5" s="13">
        <v>-549.45054945054949</v>
      </c>
      <c r="H5" s="14">
        <v>-192.30769230769232</v>
      </c>
      <c r="J5" s="1">
        <v>200</v>
      </c>
      <c r="O5" s="48"/>
      <c r="P5" s="48"/>
      <c r="Q5" s="48"/>
      <c r="R5" s="48"/>
      <c r="S5" s="48"/>
    </row>
    <row r="6" spans="1:40" ht="15" thickBot="1">
      <c r="A6" s="12">
        <v>0</v>
      </c>
      <c r="B6" s="13">
        <v>0</v>
      </c>
      <c r="C6" s="13">
        <v>-192.30769230769232</v>
      </c>
      <c r="D6" s="13">
        <v>0</v>
      </c>
      <c r="E6" s="13">
        <v>357.14285714285717</v>
      </c>
      <c r="F6" s="13">
        <v>741.75824175824187</v>
      </c>
      <c r="G6" s="13">
        <v>-164.83516483516485</v>
      </c>
      <c r="H6" s="14">
        <v>-192.30769230769232</v>
      </c>
      <c r="J6" s="1">
        <v>0</v>
      </c>
      <c r="O6" s="48"/>
      <c r="P6" s="48"/>
      <c r="Q6" s="48"/>
      <c r="R6" s="48"/>
      <c r="S6" s="48"/>
    </row>
    <row r="7" spans="1:40" ht="15" thickBot="1">
      <c r="A7" s="12">
        <v>0</v>
      </c>
      <c r="B7" s="13">
        <v>0</v>
      </c>
      <c r="C7" s="13">
        <v>0</v>
      </c>
      <c r="D7" s="13">
        <v>0</v>
      </c>
      <c r="E7" s="13">
        <v>-549.45054945054949</v>
      </c>
      <c r="F7" s="13">
        <v>-164.83516483516485</v>
      </c>
      <c r="G7" s="13">
        <v>741.75824175824187</v>
      </c>
      <c r="H7" s="14">
        <v>0</v>
      </c>
      <c r="J7" s="1">
        <v>0</v>
      </c>
    </row>
    <row r="8" spans="1:40">
      <c r="A8" s="15">
        <v>0</v>
      </c>
      <c r="B8" s="13">
        <v>0</v>
      </c>
      <c r="C8" s="16">
        <v>357.14285714285717</v>
      </c>
      <c r="D8" s="16">
        <v>0</v>
      </c>
      <c r="E8" s="16">
        <v>-192.30769230769232</v>
      </c>
      <c r="F8" s="16">
        <v>-192.30769230769232</v>
      </c>
      <c r="G8" s="16">
        <v>0</v>
      </c>
      <c r="H8" s="17">
        <v>741.75824175824187</v>
      </c>
      <c r="J8" s="1">
        <v>-1000</v>
      </c>
    </row>
    <row r="10" spans="1:40" s="35" customFormat="1"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</row>
    <row r="11" spans="1:40">
      <c r="B11" s="49"/>
      <c r="C11" s="49"/>
      <c r="D11" s="49"/>
      <c r="E11" s="49"/>
      <c r="F11" s="49"/>
    </row>
    <row r="13" spans="1:40" s="35" customFormat="1">
      <c r="A13" s="35" t="s">
        <v>107</v>
      </c>
      <c r="B13" s="35" t="s">
        <v>108</v>
      </c>
      <c r="C13" s="35" t="s">
        <v>109</v>
      </c>
      <c r="D13" s="35" t="s">
        <v>110</v>
      </c>
      <c r="E13" s="35" t="s">
        <v>111</v>
      </c>
      <c r="F13" s="35" t="s">
        <v>112</v>
      </c>
      <c r="G13" s="35" t="s">
        <v>113</v>
      </c>
    </row>
    <row r="14" spans="1:40">
      <c r="A14">
        <v>1</v>
      </c>
      <c r="B14" s="49">
        <v>7.9845799859546949</v>
      </c>
      <c r="C14" s="49">
        <v>40.137541927638594</v>
      </c>
      <c r="D14" s="49">
        <v>0</v>
      </c>
      <c r="E14" s="49">
        <v>0</v>
      </c>
      <c r="F14" s="49">
        <v>0.83874846925263202</v>
      </c>
      <c r="G14" t="s">
        <v>113</v>
      </c>
    </row>
    <row r="15" spans="1:40">
      <c r="A15">
        <v>2</v>
      </c>
      <c r="B15" s="49">
        <v>2.6047688965207883E-15</v>
      </c>
      <c r="C15" s="49">
        <v>7.1443834324251776E-2</v>
      </c>
      <c r="D15" s="49">
        <v>0</v>
      </c>
      <c r="E15" s="49">
        <v>0</v>
      </c>
      <c r="F15" s="49">
        <v>0.83799999999999975</v>
      </c>
      <c r="G15" t="s">
        <v>113</v>
      </c>
    </row>
    <row r="16" spans="1:40">
      <c r="B16" s="49"/>
    </row>
    <row r="17" spans="1:13">
      <c r="B17" s="49"/>
      <c r="M17" t="s">
        <v>119</v>
      </c>
    </row>
    <row r="18" spans="1:13">
      <c r="A18" s="35"/>
      <c r="B18" s="49"/>
      <c r="D18" t="s">
        <v>183</v>
      </c>
    </row>
    <row r="19" spans="1:13">
      <c r="A19" t="s">
        <v>110</v>
      </c>
      <c r="B19" s="49">
        <v>0</v>
      </c>
      <c r="D19" s="1">
        <v>0</v>
      </c>
      <c r="M19" t="s">
        <v>120</v>
      </c>
    </row>
    <row r="20" spans="1:13">
      <c r="A20" t="s">
        <v>111</v>
      </c>
      <c r="B20" s="49">
        <v>0</v>
      </c>
      <c r="D20" s="1">
        <v>0</v>
      </c>
      <c r="M20" t="s">
        <v>121</v>
      </c>
    </row>
    <row r="21" spans="1:13">
      <c r="A21" t="s">
        <v>112</v>
      </c>
      <c r="B21" s="49">
        <v>0.83799999999999975</v>
      </c>
      <c r="D21" s="1">
        <v>0.83799999999999975</v>
      </c>
      <c r="M21" t="s">
        <v>122</v>
      </c>
    </row>
    <row r="22" spans="1:13">
      <c r="A22" t="s">
        <v>114</v>
      </c>
      <c r="B22" s="49">
        <v>0</v>
      </c>
      <c r="D22" s="1">
        <v>0</v>
      </c>
      <c r="M22" t="s">
        <v>123</v>
      </c>
    </row>
    <row r="23" spans="1:13">
      <c r="A23" t="s">
        <v>115</v>
      </c>
      <c r="B23" s="49">
        <v>0.31799999999999995</v>
      </c>
      <c r="D23" s="1">
        <v>0.31800000000000006</v>
      </c>
      <c r="M23" t="s">
        <v>124</v>
      </c>
    </row>
    <row r="24" spans="1:13">
      <c r="A24" t="s">
        <v>116</v>
      </c>
      <c r="B24" s="49">
        <v>-0.35799999999999993</v>
      </c>
      <c r="D24" s="1">
        <v>-0.35799999999999998</v>
      </c>
    </row>
    <row r="25" spans="1:13">
      <c r="A25" t="s">
        <v>117</v>
      </c>
      <c r="B25" s="49">
        <v>0.15599999999999992</v>
      </c>
      <c r="D25" s="1">
        <v>0.15600000000000014</v>
      </c>
      <c r="M25" t="s">
        <v>125</v>
      </c>
    </row>
    <row r="26" spans="1:13">
      <c r="A26" t="s">
        <v>118</v>
      </c>
      <c r="B26" s="49">
        <v>-1.7619999999999996</v>
      </c>
      <c r="D26" s="1">
        <v>-1.7619999999999996</v>
      </c>
      <c r="M26" t="s">
        <v>126</v>
      </c>
    </row>
    <row r="28" spans="1:13">
      <c r="M28" t="s">
        <v>127</v>
      </c>
    </row>
    <row r="29" spans="1:13">
      <c r="A29" t="s">
        <v>184</v>
      </c>
      <c r="D29" t="s">
        <v>205</v>
      </c>
      <c r="M29" t="s">
        <v>128</v>
      </c>
    </row>
    <row r="30" spans="1:13">
      <c r="A30" t="s">
        <v>185</v>
      </c>
      <c r="M30" t="s">
        <v>127</v>
      </c>
    </row>
    <row r="31" spans="1:13">
      <c r="A31" t="s">
        <v>186</v>
      </c>
      <c r="D31" t="s">
        <v>206</v>
      </c>
    </row>
    <row r="32" spans="1:13">
      <c r="A32" t="s">
        <v>187</v>
      </c>
      <c r="D32" t="s">
        <v>207</v>
      </c>
      <c r="M32" t="s">
        <v>129</v>
      </c>
    </row>
    <row r="33" spans="1:13">
      <c r="A33" t="s">
        <v>188</v>
      </c>
      <c r="D33" t="s">
        <v>208</v>
      </c>
      <c r="M33" t="s">
        <v>130</v>
      </c>
    </row>
    <row r="34" spans="1:13">
      <c r="A34" t="s">
        <v>189</v>
      </c>
      <c r="D34" t="s">
        <v>209</v>
      </c>
      <c r="M34" t="s">
        <v>131</v>
      </c>
    </row>
    <row r="35" spans="1:13">
      <c r="D35" t="s">
        <v>210</v>
      </c>
      <c r="M35" t="s">
        <v>132</v>
      </c>
    </row>
    <row r="36" spans="1:13">
      <c r="A36" t="s">
        <v>190</v>
      </c>
      <c r="D36" t="s">
        <v>211</v>
      </c>
      <c r="M36" t="s">
        <v>133</v>
      </c>
    </row>
    <row r="37" spans="1:13">
      <c r="A37" t="s">
        <v>191</v>
      </c>
      <c r="D37" t="s">
        <v>212</v>
      </c>
      <c r="M37" t="s">
        <v>134</v>
      </c>
    </row>
    <row r="38" spans="1:13">
      <c r="A38" t="s">
        <v>192</v>
      </c>
      <c r="D38" t="s">
        <v>213</v>
      </c>
      <c r="M38" t="s">
        <v>135</v>
      </c>
    </row>
    <row r="39" spans="1:13">
      <c r="A39" t="s">
        <v>193</v>
      </c>
      <c r="D39" t="s">
        <v>214</v>
      </c>
      <c r="M39" t="s">
        <v>136</v>
      </c>
    </row>
    <row r="40" spans="1:13">
      <c r="A40" t="s">
        <v>194</v>
      </c>
      <c r="D40" t="s">
        <v>215</v>
      </c>
      <c r="M40" t="s">
        <v>137</v>
      </c>
    </row>
    <row r="41" spans="1:13">
      <c r="A41" t="s">
        <v>195</v>
      </c>
      <c r="D41" t="s">
        <v>206</v>
      </c>
      <c r="M41" t="s">
        <v>138</v>
      </c>
    </row>
    <row r="42" spans="1:13">
      <c r="A42" t="s">
        <v>196</v>
      </c>
      <c r="D42" t="s">
        <v>216</v>
      </c>
      <c r="M42" t="s">
        <v>139</v>
      </c>
    </row>
    <row r="43" spans="1:13">
      <c r="A43" t="s">
        <v>197</v>
      </c>
      <c r="D43" t="s">
        <v>208</v>
      </c>
      <c r="M43" t="s">
        <v>140</v>
      </c>
    </row>
    <row r="44" spans="1:13">
      <c r="A44" t="s">
        <v>198</v>
      </c>
      <c r="D44" t="s">
        <v>217</v>
      </c>
      <c r="M44" t="s">
        <v>141</v>
      </c>
    </row>
    <row r="45" spans="1:13">
      <c r="A45" t="s">
        <v>199</v>
      </c>
      <c r="D45" t="s">
        <v>218</v>
      </c>
      <c r="M45" t="s">
        <v>142</v>
      </c>
    </row>
    <row r="46" spans="1:13">
      <c r="A46" t="s">
        <v>200</v>
      </c>
      <c r="D46" t="s">
        <v>219</v>
      </c>
      <c r="M46" t="s">
        <v>143</v>
      </c>
    </row>
    <row r="47" spans="1:13">
      <c r="D47" t="s">
        <v>220</v>
      </c>
      <c r="M47" t="s">
        <v>144</v>
      </c>
    </row>
    <row r="48" spans="1:13">
      <c r="A48" t="s">
        <v>201</v>
      </c>
      <c r="D48" t="s">
        <v>221</v>
      </c>
      <c r="M48" t="s">
        <v>145</v>
      </c>
    </row>
    <row r="49" spans="1:19">
      <c r="A49" t="s">
        <v>202</v>
      </c>
      <c r="D49" t="s">
        <v>222</v>
      </c>
    </row>
    <row r="50" spans="1:19">
      <c r="A50" t="s">
        <v>203</v>
      </c>
      <c r="D50" t="s">
        <v>223</v>
      </c>
      <c r="M50" t="s">
        <v>127</v>
      </c>
    </row>
    <row r="51" spans="1:19">
      <c r="A51" t="s">
        <v>204</v>
      </c>
      <c r="D51" t="s">
        <v>224</v>
      </c>
      <c r="M51" t="s">
        <v>146</v>
      </c>
    </row>
    <row r="52" spans="1:19">
      <c r="D52" t="s">
        <v>225</v>
      </c>
      <c r="M52" t="s">
        <v>127</v>
      </c>
    </row>
    <row r="53" spans="1:19">
      <c r="D53" t="s">
        <v>226</v>
      </c>
    </row>
    <row r="54" spans="1:19">
      <c r="D54" t="s">
        <v>214</v>
      </c>
      <c r="M54" t="s">
        <v>147</v>
      </c>
      <c r="S54" s="50" t="s">
        <v>176</v>
      </c>
    </row>
    <row r="55" spans="1:19">
      <c r="D55" t="s">
        <v>215</v>
      </c>
      <c r="M55" t="s">
        <v>148</v>
      </c>
      <c r="S55" s="50" t="s">
        <v>177</v>
      </c>
    </row>
    <row r="56" spans="1:19">
      <c r="D56" t="s">
        <v>206</v>
      </c>
      <c r="M56" t="s">
        <v>149</v>
      </c>
      <c r="S56" s="50"/>
    </row>
    <row r="57" spans="1:19">
      <c r="D57" t="s">
        <v>227</v>
      </c>
      <c r="M57" t="s">
        <v>150</v>
      </c>
      <c r="S57" s="50" t="s">
        <v>178</v>
      </c>
    </row>
    <row r="58" spans="1:19">
      <c r="D58" t="s">
        <v>208</v>
      </c>
      <c r="M58" t="s">
        <v>151</v>
      </c>
      <c r="S58" s="50" t="s">
        <v>179</v>
      </c>
    </row>
    <row r="59" spans="1:19">
      <c r="D59" t="s">
        <v>228</v>
      </c>
      <c r="M59" t="s">
        <v>152</v>
      </c>
      <c r="S59" s="50"/>
    </row>
    <row r="60" spans="1:19">
      <c r="D60" t="s">
        <v>229</v>
      </c>
      <c r="S60" s="50" t="s">
        <v>180</v>
      </c>
    </row>
    <row r="61" spans="1:19">
      <c r="D61" t="s">
        <v>230</v>
      </c>
      <c r="M61" t="s">
        <v>153</v>
      </c>
    </row>
    <row r="62" spans="1:19">
      <c r="D62" t="s">
        <v>231</v>
      </c>
      <c r="M62" t="s">
        <v>154</v>
      </c>
    </row>
    <row r="63" spans="1:19">
      <c r="D63" t="s">
        <v>232</v>
      </c>
      <c r="M63" t="s">
        <v>155</v>
      </c>
    </row>
    <row r="64" spans="1:19">
      <c r="D64" t="s">
        <v>233</v>
      </c>
      <c r="M64" t="s">
        <v>156</v>
      </c>
    </row>
    <row r="65" spans="4:13">
      <c r="D65" t="s">
        <v>234</v>
      </c>
      <c r="M65" t="s">
        <v>157</v>
      </c>
    </row>
    <row r="66" spans="4:13">
      <c r="D66" t="s">
        <v>235</v>
      </c>
      <c r="M66" t="s">
        <v>158</v>
      </c>
    </row>
    <row r="67" spans="4:13">
      <c r="D67" t="s">
        <v>236</v>
      </c>
      <c r="M67" t="s">
        <v>159</v>
      </c>
    </row>
    <row r="68" spans="4:13">
      <c r="D68" t="s">
        <v>237</v>
      </c>
      <c r="M68" t="s">
        <v>160</v>
      </c>
    </row>
    <row r="69" spans="4:13">
      <c r="D69" t="s">
        <v>214</v>
      </c>
      <c r="M69" t="s">
        <v>161</v>
      </c>
    </row>
    <row r="70" spans="4:13">
      <c r="D70" t="s">
        <v>215</v>
      </c>
      <c r="M70" t="s">
        <v>162</v>
      </c>
    </row>
    <row r="71" spans="4:13">
      <c r="D71" t="s">
        <v>238</v>
      </c>
      <c r="M71" t="s">
        <v>163</v>
      </c>
    </row>
    <row r="72" spans="4:13">
      <c r="M72" t="s">
        <v>159</v>
      </c>
    </row>
    <row r="73" spans="4:13">
      <c r="M73" t="s">
        <v>164</v>
      </c>
    </row>
    <row r="74" spans="4:13">
      <c r="M74" t="s">
        <v>165</v>
      </c>
    </row>
    <row r="75" spans="4:13">
      <c r="M75" t="s">
        <v>166</v>
      </c>
    </row>
    <row r="76" spans="4:13">
      <c r="M76" t="s">
        <v>167</v>
      </c>
    </row>
    <row r="77" spans="4:13">
      <c r="M77" t="s">
        <v>168</v>
      </c>
    </row>
    <row r="78" spans="4:13">
      <c r="M78" t="s">
        <v>169</v>
      </c>
    </row>
    <row r="80" spans="4:13">
      <c r="M80" t="s">
        <v>170</v>
      </c>
    </row>
    <row r="82" spans="13:13">
      <c r="M82" t="s">
        <v>127</v>
      </c>
    </row>
    <row r="83" spans="13:13">
      <c r="M83" t="s">
        <v>171</v>
      </c>
    </row>
    <row r="84" spans="13:13">
      <c r="M84" t="s">
        <v>127</v>
      </c>
    </row>
    <row r="86" spans="13:13">
      <c r="M86" t="s">
        <v>172</v>
      </c>
    </row>
    <row r="87" spans="13:13">
      <c r="M87" t="s">
        <v>173</v>
      </c>
    </row>
    <row r="88" spans="13:13">
      <c r="M88" t="s">
        <v>174</v>
      </c>
    </row>
    <row r="89" spans="13:13">
      <c r="M89" t="s">
        <v>175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L27"/>
  <sheetViews>
    <sheetView workbookViewId="0">
      <selection activeCell="L1" sqref="L1:L8"/>
    </sheetView>
  </sheetViews>
  <sheetFormatPr defaultRowHeight="14.4"/>
  <cols>
    <col min="1" max="2" width="9" bestFit="1" customWidth="1"/>
    <col min="3" max="3" width="12.6640625" bestFit="1" customWidth="1"/>
    <col min="4" max="4" width="9" bestFit="1" customWidth="1"/>
    <col min="5" max="8" width="12.6640625" bestFit="1" customWidth="1"/>
  </cols>
  <sheetData>
    <row r="1" spans="1:12" ht="15" thickBot="1">
      <c r="A1" s="9">
        <v>741.75824175824187</v>
      </c>
      <c r="B1" s="10">
        <v>0</v>
      </c>
      <c r="C1" s="10">
        <v>0</v>
      </c>
      <c r="D1" s="10">
        <v>0</v>
      </c>
      <c r="E1" s="10">
        <v>0</v>
      </c>
      <c r="F1" s="10">
        <v>0</v>
      </c>
      <c r="G1" s="10">
        <v>0</v>
      </c>
      <c r="H1" s="10">
        <v>0</v>
      </c>
      <c r="I1" s="11">
        <v>0</v>
      </c>
      <c r="J1" s="1">
        <v>0</v>
      </c>
      <c r="L1" s="1">
        <f t="array" ref="L1:L8">MMULT(A10:H17,J1:J8)</f>
        <v>0</v>
      </c>
    </row>
    <row r="2" spans="1:12" ht="15" thickBot="1">
      <c r="A2" s="12">
        <v>0</v>
      </c>
      <c r="B2" s="13">
        <v>741.75824175824187</v>
      </c>
      <c r="C2" s="13">
        <v>0</v>
      </c>
      <c r="D2" s="13">
        <v>0</v>
      </c>
      <c r="E2" s="13">
        <v>0</v>
      </c>
      <c r="F2" s="13">
        <v>0</v>
      </c>
      <c r="G2" s="13">
        <v>0</v>
      </c>
      <c r="H2" s="13">
        <v>0</v>
      </c>
      <c r="I2" s="11">
        <v>0</v>
      </c>
      <c r="J2" s="1">
        <v>0</v>
      </c>
      <c r="L2" s="1">
        <v>0</v>
      </c>
    </row>
    <row r="3" spans="1:12" ht="15" thickBot="1">
      <c r="A3" s="12">
        <v>0</v>
      </c>
      <c r="B3" s="13">
        <v>0</v>
      </c>
      <c r="C3" s="13">
        <v>741.75824175824187</v>
      </c>
      <c r="D3" s="13">
        <v>0</v>
      </c>
      <c r="E3" s="13">
        <v>-192.30769230769232</v>
      </c>
      <c r="F3" s="13">
        <v>-192.30769230769232</v>
      </c>
      <c r="G3" s="13">
        <v>0</v>
      </c>
      <c r="H3" s="14">
        <v>357.14285714285717</v>
      </c>
      <c r="I3" s="11">
        <v>0</v>
      </c>
      <c r="J3" s="1">
        <v>0</v>
      </c>
      <c r="L3" s="1">
        <v>0.83799999999999975</v>
      </c>
    </row>
    <row r="4" spans="1:12" ht="15" thickBot="1">
      <c r="A4" s="12">
        <v>0</v>
      </c>
      <c r="B4" s="13">
        <v>0</v>
      </c>
      <c r="C4" s="13">
        <v>0</v>
      </c>
      <c r="D4" s="13">
        <v>741.75824175824187</v>
      </c>
      <c r="E4" s="13">
        <v>0</v>
      </c>
      <c r="F4" s="13">
        <v>0</v>
      </c>
      <c r="G4" s="13">
        <v>0</v>
      </c>
      <c r="H4" s="13">
        <v>0</v>
      </c>
      <c r="I4" s="11">
        <v>5.6843418860808015E-14</v>
      </c>
      <c r="J4" s="1">
        <v>0</v>
      </c>
      <c r="L4" s="1">
        <v>0</v>
      </c>
    </row>
    <row r="5" spans="1:12" ht="15" thickBot="1">
      <c r="A5" s="12">
        <v>0</v>
      </c>
      <c r="B5" s="13">
        <v>0</v>
      </c>
      <c r="C5" s="13">
        <v>-192.30769230769232</v>
      </c>
      <c r="D5" s="13">
        <v>0</v>
      </c>
      <c r="E5" s="13">
        <v>741.75824175824187</v>
      </c>
      <c r="F5" s="13">
        <v>357.14285714285717</v>
      </c>
      <c r="G5" s="13">
        <v>-549.45054945054949</v>
      </c>
      <c r="H5" s="14">
        <v>-192.30769230769232</v>
      </c>
      <c r="I5" s="11">
        <v>0</v>
      </c>
      <c r="J5" s="1">
        <v>200</v>
      </c>
      <c r="L5" s="1">
        <v>0.31800000000000006</v>
      </c>
    </row>
    <row r="6" spans="1:12" ht="15" thickBot="1">
      <c r="A6" s="12">
        <v>0</v>
      </c>
      <c r="B6" s="13">
        <v>0</v>
      </c>
      <c r="C6" s="13">
        <v>-192.30769230769232</v>
      </c>
      <c r="D6" s="13">
        <v>0</v>
      </c>
      <c r="E6" s="13">
        <v>357.14285714285717</v>
      </c>
      <c r="F6" s="13">
        <v>741.75824175824187</v>
      </c>
      <c r="G6" s="13">
        <v>-164.83516483516485</v>
      </c>
      <c r="H6" s="14">
        <v>-192.30769230769232</v>
      </c>
      <c r="I6" s="11">
        <v>0</v>
      </c>
      <c r="J6" s="1">
        <v>0</v>
      </c>
      <c r="L6" s="1">
        <v>-0.35799999999999998</v>
      </c>
    </row>
    <row r="7" spans="1:12" ht="15" thickBot="1">
      <c r="A7" s="12">
        <v>0</v>
      </c>
      <c r="B7" s="13">
        <v>0</v>
      </c>
      <c r="C7" s="13">
        <v>0</v>
      </c>
      <c r="D7" s="13">
        <v>0</v>
      </c>
      <c r="E7" s="13">
        <v>-549.45054945054949</v>
      </c>
      <c r="F7" s="13">
        <v>-164.83516483516485</v>
      </c>
      <c r="G7" s="13">
        <v>741.75824175824187</v>
      </c>
      <c r="H7" s="14">
        <v>0</v>
      </c>
      <c r="I7" s="11">
        <v>1.1368683772161603E-13</v>
      </c>
      <c r="J7" s="1">
        <v>0</v>
      </c>
      <c r="L7" s="1">
        <v>0.15600000000000014</v>
      </c>
    </row>
    <row r="8" spans="1:12">
      <c r="A8" s="15">
        <v>0</v>
      </c>
      <c r="B8" s="13">
        <v>0</v>
      </c>
      <c r="C8" s="16">
        <v>357.14285714285717</v>
      </c>
      <c r="D8" s="16">
        <v>0</v>
      </c>
      <c r="E8" s="16">
        <v>-192.30769230769232</v>
      </c>
      <c r="F8" s="16">
        <v>-192.30769230769232</v>
      </c>
      <c r="G8" s="16">
        <v>0</v>
      </c>
      <c r="H8" s="17">
        <v>741.75824175824187</v>
      </c>
      <c r="I8" s="11">
        <v>0</v>
      </c>
      <c r="J8" s="1">
        <v>-1000</v>
      </c>
      <c r="L8" s="1">
        <v>-1.7619999999999996</v>
      </c>
    </row>
    <row r="9" spans="1:12">
      <c r="A9" t="s">
        <v>24</v>
      </c>
      <c r="J9" t="s">
        <v>22</v>
      </c>
      <c r="L9" t="s">
        <v>21</v>
      </c>
    </row>
    <row r="10" spans="1:12">
      <c r="A10" s="1">
        <f t="array" ref="A10:H17">MINVERSE(A1:H8)</f>
        <v>1.348148148148148E-3</v>
      </c>
      <c r="B10" s="1">
        <v>0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</row>
    <row r="11" spans="1:12">
      <c r="A11" s="1">
        <v>0</v>
      </c>
      <c r="B11" s="1">
        <v>1.348148148148148E-3</v>
      </c>
      <c r="C11" s="1">
        <v>0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</row>
    <row r="12" spans="1:12">
      <c r="A12" s="1">
        <v>0</v>
      </c>
      <c r="B12" s="1">
        <v>0</v>
      </c>
      <c r="C12" s="1">
        <v>1.8774999999999994E-3</v>
      </c>
      <c r="D12" s="1">
        <v>0</v>
      </c>
      <c r="E12" s="1">
        <v>5.775E-4</v>
      </c>
      <c r="F12" s="1">
        <v>1.2249999999999997E-4</v>
      </c>
      <c r="G12" s="1">
        <v>4.5499999999999989E-4</v>
      </c>
      <c r="H12" s="1">
        <v>-7.2249999999999973E-4</v>
      </c>
    </row>
    <row r="13" spans="1:12">
      <c r="A13" s="1">
        <v>0</v>
      </c>
      <c r="B13" s="1">
        <v>0</v>
      </c>
      <c r="C13" s="1">
        <v>0</v>
      </c>
      <c r="D13" s="1">
        <v>1.348148148148148E-3</v>
      </c>
      <c r="E13" s="1">
        <v>0</v>
      </c>
      <c r="F13" s="1">
        <v>0</v>
      </c>
      <c r="G13" s="1">
        <v>0</v>
      </c>
      <c r="H13" s="1">
        <v>0</v>
      </c>
    </row>
    <row r="14" spans="1:12">
      <c r="A14" s="1">
        <v>0</v>
      </c>
      <c r="B14" s="1">
        <v>0</v>
      </c>
      <c r="C14" s="1">
        <v>5.7749999999999989E-4</v>
      </c>
      <c r="D14" s="1">
        <v>0</v>
      </c>
      <c r="E14" s="1">
        <v>4.4774999999999988E-3</v>
      </c>
      <c r="F14" s="1">
        <v>-1.1775000000000002E-3</v>
      </c>
      <c r="G14" s="1">
        <v>3.0549999999999991E-3</v>
      </c>
      <c r="H14" s="1">
        <v>5.7749999999999967E-4</v>
      </c>
    </row>
    <row r="15" spans="1:12">
      <c r="A15" s="1">
        <v>0</v>
      </c>
      <c r="B15" s="1">
        <v>0</v>
      </c>
      <c r="C15" s="1">
        <v>1.2249999999999997E-4</v>
      </c>
      <c r="D15" s="1">
        <v>0</v>
      </c>
      <c r="E15" s="1">
        <v>-1.1774999999999999E-3</v>
      </c>
      <c r="F15" s="1">
        <v>1.8775000000000003E-3</v>
      </c>
      <c r="G15" s="1">
        <v>-4.55E-4</v>
      </c>
      <c r="H15" s="1">
        <v>1.2249999999999997E-4</v>
      </c>
    </row>
    <row r="16" spans="1:12">
      <c r="A16" s="1">
        <v>0</v>
      </c>
      <c r="B16" s="1">
        <v>0</v>
      </c>
      <c r="C16" s="1">
        <v>4.5499999999999995E-4</v>
      </c>
      <c r="D16" s="1">
        <v>0</v>
      </c>
      <c r="E16" s="1">
        <v>3.0549999999999991E-3</v>
      </c>
      <c r="F16" s="1">
        <v>-4.5499999999999995E-4</v>
      </c>
      <c r="G16" s="1">
        <v>3.5099999999999992E-3</v>
      </c>
      <c r="H16" s="1">
        <v>4.5499999999999973E-4</v>
      </c>
    </row>
    <row r="17" spans="1:8">
      <c r="A17" s="1">
        <v>0</v>
      </c>
      <c r="B17" s="1">
        <v>0</v>
      </c>
      <c r="C17" s="1">
        <v>-7.2249999999999984E-4</v>
      </c>
      <c r="D17" s="1">
        <v>0</v>
      </c>
      <c r="E17" s="1">
        <v>5.7749999999999956E-4</v>
      </c>
      <c r="F17" s="1">
        <v>1.225E-4</v>
      </c>
      <c r="G17" s="1">
        <v>4.5499999999999973E-4</v>
      </c>
      <c r="H17" s="1">
        <v>1.8774999999999994E-3</v>
      </c>
    </row>
    <row r="18" spans="1:8">
      <c r="A18" t="s">
        <v>23</v>
      </c>
    </row>
    <row r="19" spans="1:8">
      <c r="A19" t="s">
        <v>83</v>
      </c>
    </row>
    <row r="20" spans="1:8">
      <c r="A20" s="38">
        <f t="array" ref="A20:H27">MMULT(A1:H8,A10:H17)</f>
        <v>1</v>
      </c>
      <c r="B20" s="38">
        <v>0</v>
      </c>
      <c r="C20" s="38">
        <v>0</v>
      </c>
      <c r="D20" s="38">
        <v>0</v>
      </c>
      <c r="E20" s="38">
        <v>0</v>
      </c>
      <c r="F20" s="38">
        <v>0</v>
      </c>
      <c r="G20" s="38">
        <v>0</v>
      </c>
      <c r="H20" s="38">
        <v>0</v>
      </c>
    </row>
    <row r="21" spans="1:8">
      <c r="A21" s="38">
        <v>0</v>
      </c>
      <c r="B21" s="38">
        <v>1</v>
      </c>
      <c r="C21" s="38">
        <v>0</v>
      </c>
      <c r="D21" s="38">
        <v>0</v>
      </c>
      <c r="E21" s="38">
        <v>0</v>
      </c>
      <c r="F21" s="38">
        <v>0</v>
      </c>
      <c r="G21" s="38">
        <v>0</v>
      </c>
      <c r="H21" s="38">
        <v>0</v>
      </c>
    </row>
    <row r="22" spans="1:8">
      <c r="A22" s="38">
        <v>0</v>
      </c>
      <c r="B22" s="38">
        <v>0</v>
      </c>
      <c r="C22" s="38">
        <v>0.99999999999999989</v>
      </c>
      <c r="D22" s="38">
        <v>0</v>
      </c>
      <c r="E22" s="38">
        <v>5.5511151231257827E-17</v>
      </c>
      <c r="F22" s="38">
        <v>-6.9388939039072284E-18</v>
      </c>
      <c r="G22" s="38">
        <v>0</v>
      </c>
      <c r="H22" s="38">
        <v>0</v>
      </c>
    </row>
    <row r="23" spans="1:8">
      <c r="A23" s="38">
        <v>0</v>
      </c>
      <c r="B23" s="38">
        <v>0</v>
      </c>
      <c r="C23" s="38">
        <v>0</v>
      </c>
      <c r="D23" s="38">
        <v>1</v>
      </c>
      <c r="E23" s="38">
        <v>0</v>
      </c>
      <c r="F23" s="38">
        <v>0</v>
      </c>
      <c r="G23" s="38">
        <v>0</v>
      </c>
      <c r="H23" s="38">
        <v>0</v>
      </c>
    </row>
    <row r="24" spans="1:8">
      <c r="A24" s="38">
        <v>0</v>
      </c>
      <c r="B24" s="38">
        <v>0</v>
      </c>
      <c r="C24" s="38">
        <v>5.5511151231257827E-17</v>
      </c>
      <c r="D24" s="38">
        <v>0</v>
      </c>
      <c r="E24" s="38">
        <v>1.0000000000000002</v>
      </c>
      <c r="F24" s="38">
        <v>-8.3266726846886741E-17</v>
      </c>
      <c r="G24" s="38">
        <v>-4.163336342344337E-17</v>
      </c>
      <c r="H24" s="38">
        <v>-5.5511151231257827E-17</v>
      </c>
    </row>
    <row r="25" spans="1:8">
      <c r="A25" s="38">
        <v>0</v>
      </c>
      <c r="B25" s="38">
        <v>0</v>
      </c>
      <c r="C25" s="38">
        <v>5.5511151231257827E-17</v>
      </c>
      <c r="D25" s="38">
        <v>0</v>
      </c>
      <c r="E25" s="38">
        <v>-9.7144514654701197E-17</v>
      </c>
      <c r="F25" s="38">
        <v>1.0000000000000004</v>
      </c>
      <c r="G25" s="38">
        <v>-1.5265566588595902E-16</v>
      </c>
      <c r="H25" s="38">
        <v>5.5511151231257827E-17</v>
      </c>
    </row>
    <row r="26" spans="1:8">
      <c r="A26" s="38">
        <v>0</v>
      </c>
      <c r="B26" s="38">
        <v>0</v>
      </c>
      <c r="C26" s="38">
        <v>5.5511151231257827E-17</v>
      </c>
      <c r="D26" s="38">
        <v>0</v>
      </c>
      <c r="E26" s="38">
        <v>0</v>
      </c>
      <c r="F26" s="38">
        <v>5.5511151231257827E-17</v>
      </c>
      <c r="G26" s="38">
        <v>1</v>
      </c>
      <c r="H26" s="38">
        <v>5.5511151231257827E-17</v>
      </c>
    </row>
    <row r="27" spans="1:8">
      <c r="A27" s="38">
        <v>0</v>
      </c>
      <c r="B27" s="38">
        <v>0</v>
      </c>
      <c r="C27" s="38">
        <v>-1.1102230246251565E-16</v>
      </c>
      <c r="D27" s="38">
        <v>0</v>
      </c>
      <c r="E27" s="38">
        <v>-5.5511151231257827E-17</v>
      </c>
      <c r="F27" s="38">
        <v>0</v>
      </c>
      <c r="G27" s="38">
        <v>-5.5511151231257827E-17</v>
      </c>
      <c r="H27" s="38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B1:K41"/>
  <sheetViews>
    <sheetView topLeftCell="A22" workbookViewId="0">
      <selection activeCell="K34" sqref="K34:K41"/>
    </sheetView>
  </sheetViews>
  <sheetFormatPr defaultRowHeight="14.4"/>
  <cols>
    <col min="23" max="23" width="9.6640625" bestFit="1" customWidth="1"/>
  </cols>
  <sheetData>
    <row r="1" spans="2:11">
      <c r="B1" t="s">
        <v>28</v>
      </c>
      <c r="K1" t="s">
        <v>22</v>
      </c>
    </row>
    <row r="2" spans="2:11">
      <c r="B2" s="1">
        <v>741.75824175824187</v>
      </c>
      <c r="C2" s="1">
        <v>0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K2" s="1">
        <v>0</v>
      </c>
    </row>
    <row r="3" spans="2:11">
      <c r="B3" s="1">
        <v>0</v>
      </c>
      <c r="C3" s="1">
        <v>741.75824175824187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0</v>
      </c>
      <c r="K3" s="1">
        <v>0</v>
      </c>
    </row>
    <row r="4" spans="2:11">
      <c r="B4" s="1">
        <v>0</v>
      </c>
      <c r="C4" s="1">
        <v>0</v>
      </c>
      <c r="D4" s="1">
        <v>741.75824175824187</v>
      </c>
      <c r="E4" s="1">
        <v>0</v>
      </c>
      <c r="F4" s="1">
        <v>-192.30769230769232</v>
      </c>
      <c r="G4" s="1">
        <v>-192.30769230769232</v>
      </c>
      <c r="H4" s="1">
        <v>0</v>
      </c>
      <c r="I4" s="1">
        <v>357.14285714285717</v>
      </c>
      <c r="K4" s="1">
        <v>0</v>
      </c>
    </row>
    <row r="5" spans="2:11">
      <c r="B5" s="1">
        <v>0</v>
      </c>
      <c r="C5" s="1">
        <v>0</v>
      </c>
      <c r="D5" s="1">
        <v>0</v>
      </c>
      <c r="E5" s="1">
        <v>741.75824175824187</v>
      </c>
      <c r="F5" s="1">
        <v>0</v>
      </c>
      <c r="G5" s="1">
        <v>0</v>
      </c>
      <c r="H5" s="1">
        <v>0</v>
      </c>
      <c r="I5" s="1">
        <v>0</v>
      </c>
      <c r="K5" s="1">
        <v>0</v>
      </c>
    </row>
    <row r="6" spans="2:11">
      <c r="B6" s="1">
        <v>0</v>
      </c>
      <c r="C6" s="1">
        <v>0</v>
      </c>
      <c r="D6" s="1">
        <v>-192.30769230769232</v>
      </c>
      <c r="E6" s="1">
        <v>0</v>
      </c>
      <c r="F6" s="1">
        <v>741.75824175824187</v>
      </c>
      <c r="G6" s="1">
        <v>357.14285714285717</v>
      </c>
      <c r="H6" s="1">
        <v>-549.45054945054949</v>
      </c>
      <c r="I6" s="1">
        <v>-192.30769230769232</v>
      </c>
      <c r="K6" s="1">
        <v>200</v>
      </c>
    </row>
    <row r="7" spans="2:11">
      <c r="B7" s="1">
        <v>0</v>
      </c>
      <c r="C7" s="1">
        <v>0</v>
      </c>
      <c r="D7" s="1">
        <v>-192.30769230769232</v>
      </c>
      <c r="E7" s="1">
        <v>0</v>
      </c>
      <c r="F7" s="1">
        <v>357.14285714285717</v>
      </c>
      <c r="G7" s="1">
        <v>741.75824175824187</v>
      </c>
      <c r="H7" s="1">
        <v>-164.83516483516485</v>
      </c>
      <c r="I7" s="1">
        <v>-192.30769230769232</v>
      </c>
      <c r="K7" s="1">
        <v>0</v>
      </c>
    </row>
    <row r="8" spans="2:11">
      <c r="B8" s="1">
        <v>0</v>
      </c>
      <c r="C8" s="1">
        <v>0</v>
      </c>
      <c r="D8" s="1">
        <v>0</v>
      </c>
      <c r="E8" s="1">
        <v>0</v>
      </c>
      <c r="F8" s="1">
        <v>-549.45054945054949</v>
      </c>
      <c r="G8" s="1">
        <v>-164.83516483516485</v>
      </c>
      <c r="H8" s="1">
        <v>741.75824175824187</v>
      </c>
      <c r="I8" s="1">
        <v>0</v>
      </c>
      <c r="K8" s="1">
        <v>0</v>
      </c>
    </row>
    <row r="9" spans="2:11">
      <c r="B9" s="1">
        <v>0</v>
      </c>
      <c r="C9" s="1">
        <v>0</v>
      </c>
      <c r="D9" s="1">
        <v>357.14285714285717</v>
      </c>
      <c r="E9" s="1">
        <v>0</v>
      </c>
      <c r="F9" s="1">
        <v>-192.30769230769232</v>
      </c>
      <c r="G9" s="1">
        <v>-192.30769230769232</v>
      </c>
      <c r="H9" s="1">
        <v>0</v>
      </c>
      <c r="I9" s="1">
        <v>741.75824175824187</v>
      </c>
      <c r="K9" s="1">
        <v>-1000</v>
      </c>
    </row>
    <row r="12" spans="2:11">
      <c r="B12" t="s">
        <v>29</v>
      </c>
      <c r="C12" t="s">
        <v>30</v>
      </c>
    </row>
    <row r="13" spans="2:11">
      <c r="B13" s="1">
        <v>741.75824175824187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</row>
    <row r="14" spans="2:11">
      <c r="B14" s="1">
        <v>0</v>
      </c>
      <c r="C14" s="1">
        <v>741.75824175824187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2:11">
      <c r="B15" s="1">
        <v>0</v>
      </c>
      <c r="C15" s="1">
        <v>0</v>
      </c>
      <c r="D15" s="1">
        <v>741.75824175824187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</row>
    <row r="16" spans="2:11">
      <c r="B16" s="1">
        <v>0</v>
      </c>
      <c r="C16" s="1">
        <v>0</v>
      </c>
      <c r="D16" s="1">
        <v>0</v>
      </c>
      <c r="E16" s="1">
        <v>741.75824175824187</v>
      </c>
      <c r="F16" s="1">
        <v>0</v>
      </c>
      <c r="G16" s="1">
        <v>0</v>
      </c>
      <c r="H16" s="1">
        <v>0</v>
      </c>
      <c r="I16" s="1">
        <v>0</v>
      </c>
    </row>
    <row r="17" spans="2:9">
      <c r="B17" s="1">
        <v>0</v>
      </c>
      <c r="C17" s="1">
        <v>0</v>
      </c>
      <c r="D17" s="1">
        <v>0</v>
      </c>
      <c r="E17" s="1">
        <v>0</v>
      </c>
      <c r="F17" s="1">
        <v>741.75824175824187</v>
      </c>
      <c r="G17" s="1">
        <v>0</v>
      </c>
      <c r="H17" s="1">
        <v>0</v>
      </c>
      <c r="I17" s="1">
        <v>0</v>
      </c>
    </row>
    <row r="18" spans="2:9">
      <c r="B18" s="1">
        <v>0</v>
      </c>
      <c r="C18" s="1">
        <v>0</v>
      </c>
      <c r="D18" s="1">
        <v>0</v>
      </c>
      <c r="E18" s="1">
        <v>0</v>
      </c>
      <c r="F18" s="1">
        <v>0</v>
      </c>
      <c r="G18" s="1">
        <v>741.75824175824187</v>
      </c>
      <c r="H18" s="1">
        <v>0</v>
      </c>
      <c r="I18" s="1">
        <v>0</v>
      </c>
    </row>
    <row r="19" spans="2:9">
      <c r="B19" s="1">
        <v>0</v>
      </c>
      <c r="C19" s="1">
        <v>0</v>
      </c>
      <c r="D19" s="1">
        <v>0</v>
      </c>
      <c r="E19" s="1">
        <v>0</v>
      </c>
      <c r="F19" s="1">
        <v>0</v>
      </c>
      <c r="G19" s="1">
        <v>0</v>
      </c>
      <c r="H19" s="1">
        <v>741.75824175824187</v>
      </c>
      <c r="I19" s="1">
        <v>0</v>
      </c>
    </row>
    <row r="20" spans="2:9">
      <c r="B20" s="1">
        <v>0</v>
      </c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741.75824175824187</v>
      </c>
    </row>
    <row r="23" spans="2:9" ht="15">
      <c r="B23" s="18" t="s">
        <v>31</v>
      </c>
    </row>
    <row r="24" spans="2:9">
      <c r="B24" s="1">
        <f>1/B13</f>
        <v>1.348148148148148E-3</v>
      </c>
      <c r="C24" s="1">
        <f t="shared" ref="C24:I24" si="0">C13</f>
        <v>0</v>
      </c>
      <c r="D24" s="1">
        <f t="shared" si="0"/>
        <v>0</v>
      </c>
      <c r="E24" s="1">
        <f t="shared" si="0"/>
        <v>0</v>
      </c>
      <c r="F24" s="1">
        <f t="shared" si="0"/>
        <v>0</v>
      </c>
      <c r="G24" s="1">
        <f t="shared" si="0"/>
        <v>0</v>
      </c>
      <c r="H24" s="1">
        <f t="shared" si="0"/>
        <v>0</v>
      </c>
      <c r="I24" s="1">
        <f t="shared" si="0"/>
        <v>0</v>
      </c>
    </row>
    <row r="25" spans="2:9">
      <c r="B25" s="1">
        <f t="shared" ref="B25:I25" si="1">B14</f>
        <v>0</v>
      </c>
      <c r="C25" s="1">
        <f>1/C14</f>
        <v>1.348148148148148E-3</v>
      </c>
      <c r="D25" s="1">
        <f t="shared" si="1"/>
        <v>0</v>
      </c>
      <c r="E25" s="1">
        <f t="shared" si="1"/>
        <v>0</v>
      </c>
      <c r="F25" s="1">
        <f t="shared" si="1"/>
        <v>0</v>
      </c>
      <c r="G25" s="1">
        <f t="shared" si="1"/>
        <v>0</v>
      </c>
      <c r="H25" s="1">
        <f t="shared" si="1"/>
        <v>0</v>
      </c>
      <c r="I25" s="1">
        <f t="shared" si="1"/>
        <v>0</v>
      </c>
    </row>
    <row r="26" spans="2:9">
      <c r="B26" s="1">
        <f t="shared" ref="B26:I26" si="2">B15</f>
        <v>0</v>
      </c>
      <c r="C26" s="1">
        <f t="shared" si="2"/>
        <v>0</v>
      </c>
      <c r="D26" s="1">
        <f>1/D15</f>
        <v>1.348148148148148E-3</v>
      </c>
      <c r="E26" s="1">
        <f t="shared" si="2"/>
        <v>0</v>
      </c>
      <c r="F26" s="1">
        <f t="shared" si="2"/>
        <v>0</v>
      </c>
      <c r="G26" s="1">
        <f t="shared" si="2"/>
        <v>0</v>
      </c>
      <c r="H26" s="1">
        <f t="shared" si="2"/>
        <v>0</v>
      </c>
      <c r="I26" s="1">
        <f t="shared" si="2"/>
        <v>0</v>
      </c>
    </row>
    <row r="27" spans="2:9">
      <c r="B27" s="1">
        <f t="shared" ref="B27:I27" si="3">B16</f>
        <v>0</v>
      </c>
      <c r="C27" s="1">
        <f t="shared" si="3"/>
        <v>0</v>
      </c>
      <c r="D27" s="1">
        <f t="shared" si="3"/>
        <v>0</v>
      </c>
      <c r="E27" s="1">
        <f>1/E16</f>
        <v>1.348148148148148E-3</v>
      </c>
      <c r="F27" s="1">
        <f t="shared" si="3"/>
        <v>0</v>
      </c>
      <c r="G27" s="1">
        <f t="shared" si="3"/>
        <v>0</v>
      </c>
      <c r="H27" s="1">
        <f t="shared" si="3"/>
        <v>0</v>
      </c>
      <c r="I27" s="1">
        <f t="shared" si="3"/>
        <v>0</v>
      </c>
    </row>
    <row r="28" spans="2:9">
      <c r="B28" s="1">
        <f t="shared" ref="B28:I28" si="4">B17</f>
        <v>0</v>
      </c>
      <c r="C28" s="1">
        <f t="shared" si="4"/>
        <v>0</v>
      </c>
      <c r="D28" s="1">
        <f t="shared" si="4"/>
        <v>0</v>
      </c>
      <c r="E28" s="1">
        <f t="shared" si="4"/>
        <v>0</v>
      </c>
      <c r="F28" s="1">
        <f>1/F17</f>
        <v>1.348148148148148E-3</v>
      </c>
      <c r="G28" s="1">
        <f t="shared" si="4"/>
        <v>0</v>
      </c>
      <c r="H28" s="1">
        <f t="shared" si="4"/>
        <v>0</v>
      </c>
      <c r="I28" s="1">
        <f t="shared" si="4"/>
        <v>0</v>
      </c>
    </row>
    <row r="29" spans="2:9">
      <c r="B29" s="1">
        <f t="shared" ref="B29:I29" si="5">B18</f>
        <v>0</v>
      </c>
      <c r="C29" s="1">
        <f t="shared" si="5"/>
        <v>0</v>
      </c>
      <c r="D29" s="1">
        <f t="shared" si="5"/>
        <v>0</v>
      </c>
      <c r="E29" s="1">
        <f t="shared" si="5"/>
        <v>0</v>
      </c>
      <c r="F29" s="1">
        <f t="shared" si="5"/>
        <v>0</v>
      </c>
      <c r="G29" s="1">
        <f>1/G18</f>
        <v>1.348148148148148E-3</v>
      </c>
      <c r="H29" s="1">
        <f t="shared" si="5"/>
        <v>0</v>
      </c>
      <c r="I29" s="1">
        <f t="shared" si="5"/>
        <v>0</v>
      </c>
    </row>
    <row r="30" spans="2:9">
      <c r="B30" s="1">
        <f t="shared" ref="B30:I31" si="6">B19</f>
        <v>0</v>
      </c>
      <c r="C30" s="1">
        <f t="shared" si="6"/>
        <v>0</v>
      </c>
      <c r="D30" s="1">
        <f t="shared" si="6"/>
        <v>0</v>
      </c>
      <c r="E30" s="1">
        <f t="shared" si="6"/>
        <v>0</v>
      </c>
      <c r="F30" s="1">
        <f t="shared" si="6"/>
        <v>0</v>
      </c>
      <c r="G30" s="1">
        <f t="shared" si="6"/>
        <v>0</v>
      </c>
      <c r="H30" s="1">
        <f>1/H19</f>
        <v>1.348148148148148E-3</v>
      </c>
      <c r="I30" s="1">
        <f t="shared" si="6"/>
        <v>0</v>
      </c>
    </row>
    <row r="31" spans="2:9">
      <c r="B31" s="1">
        <f>B20</f>
        <v>0</v>
      </c>
      <c r="C31" s="1">
        <f t="shared" si="6"/>
        <v>0</v>
      </c>
      <c r="D31" s="1">
        <f t="shared" si="6"/>
        <v>0</v>
      </c>
      <c r="E31" s="1">
        <f t="shared" si="6"/>
        <v>0</v>
      </c>
      <c r="F31" s="1">
        <f t="shared" si="6"/>
        <v>0</v>
      </c>
      <c r="G31" s="1">
        <f t="shared" si="6"/>
        <v>0</v>
      </c>
      <c r="H31" s="1">
        <f t="shared" si="6"/>
        <v>0</v>
      </c>
      <c r="I31" s="1">
        <f>1/I20</f>
        <v>1.348148148148148E-3</v>
      </c>
    </row>
    <row r="33" spans="2:11" ht="15">
      <c r="B33" s="18" t="s">
        <v>32</v>
      </c>
    </row>
    <row r="34" spans="2:11">
      <c r="B34" s="1">
        <f t="array" ref="B34:I41">MMULT(B24:I31,B2:I9)</f>
        <v>1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K34" s="1">
        <f t="array" ref="K34:K41">MMULT(B24:I31,K2:K9)</f>
        <v>0</v>
      </c>
    </row>
    <row r="35" spans="2:11">
      <c r="B35" s="1">
        <v>0</v>
      </c>
      <c r="C35" s="1">
        <v>1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K35" s="1">
        <v>0</v>
      </c>
    </row>
    <row r="36" spans="2:11">
      <c r="B36" s="1">
        <v>0</v>
      </c>
      <c r="C36" s="1">
        <v>0</v>
      </c>
      <c r="D36" s="1">
        <v>1</v>
      </c>
      <c r="E36" s="1">
        <v>0</v>
      </c>
      <c r="F36" s="1">
        <v>-0.25925925925925924</v>
      </c>
      <c r="G36" s="1">
        <v>-0.25925925925925924</v>
      </c>
      <c r="H36" s="1">
        <v>0</v>
      </c>
      <c r="I36" s="1">
        <v>0.48148148148148145</v>
      </c>
      <c r="K36" s="1">
        <v>0</v>
      </c>
    </row>
    <row r="37" spans="2:11">
      <c r="B37" s="1">
        <v>0</v>
      </c>
      <c r="C37" s="1">
        <v>0</v>
      </c>
      <c r="D37" s="1">
        <v>0</v>
      </c>
      <c r="E37" s="1">
        <v>1</v>
      </c>
      <c r="F37" s="1">
        <v>0</v>
      </c>
      <c r="G37" s="1">
        <v>0</v>
      </c>
      <c r="H37" s="1">
        <v>0</v>
      </c>
      <c r="I37" s="1">
        <v>0</v>
      </c>
      <c r="K37" s="1">
        <v>0</v>
      </c>
    </row>
    <row r="38" spans="2:11">
      <c r="B38" s="1">
        <v>0</v>
      </c>
      <c r="C38" s="1">
        <v>0</v>
      </c>
      <c r="D38" s="1">
        <v>-0.25925925925925924</v>
      </c>
      <c r="E38" s="1">
        <v>0</v>
      </c>
      <c r="F38" s="1">
        <v>1</v>
      </c>
      <c r="G38" s="1">
        <v>0.48148148148148145</v>
      </c>
      <c r="H38" s="1">
        <v>-0.7407407407407407</v>
      </c>
      <c r="I38" s="1">
        <v>-0.25925925925925924</v>
      </c>
      <c r="K38" s="1">
        <v>0.26962962962962961</v>
      </c>
    </row>
    <row r="39" spans="2:11">
      <c r="B39" s="1">
        <v>0</v>
      </c>
      <c r="C39" s="1">
        <v>0</v>
      </c>
      <c r="D39" s="1">
        <v>-0.25925925925925924</v>
      </c>
      <c r="E39" s="1">
        <v>0</v>
      </c>
      <c r="F39" s="1">
        <v>0.48148148148148145</v>
      </c>
      <c r="G39" s="1">
        <v>1</v>
      </c>
      <c r="H39" s="1">
        <v>-0.22222222222222221</v>
      </c>
      <c r="I39" s="1">
        <v>-0.25925925925925924</v>
      </c>
      <c r="K39" s="1">
        <v>0</v>
      </c>
    </row>
    <row r="40" spans="2:11">
      <c r="B40" s="1">
        <v>0</v>
      </c>
      <c r="C40" s="1">
        <v>0</v>
      </c>
      <c r="D40" s="1">
        <v>0</v>
      </c>
      <c r="E40" s="1">
        <v>0</v>
      </c>
      <c r="F40" s="1">
        <v>-0.7407407407407407</v>
      </c>
      <c r="G40" s="1">
        <v>-0.22222222222222221</v>
      </c>
      <c r="H40" s="1">
        <v>1</v>
      </c>
      <c r="I40" s="1">
        <v>0</v>
      </c>
      <c r="K40" s="1">
        <v>0</v>
      </c>
    </row>
    <row r="41" spans="2:11">
      <c r="B41" s="1">
        <v>0</v>
      </c>
      <c r="C41" s="1">
        <v>0</v>
      </c>
      <c r="D41" s="1">
        <v>0.48148148148148145</v>
      </c>
      <c r="E41" s="1">
        <v>0</v>
      </c>
      <c r="F41" s="1">
        <v>-0.25925925925925924</v>
      </c>
      <c r="G41" s="1">
        <v>-0.25925925925925924</v>
      </c>
      <c r="H41" s="1">
        <v>0</v>
      </c>
      <c r="I41" s="1">
        <v>1</v>
      </c>
      <c r="K41" s="1">
        <v>-1.3481481481481481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A54"/>
  <sheetViews>
    <sheetView topLeftCell="G1" workbookViewId="0">
      <selection activeCell="T20" sqref="T20:T21"/>
    </sheetView>
  </sheetViews>
  <sheetFormatPr defaultRowHeight="14.4"/>
  <cols>
    <col min="18" max="18" width="12" bestFit="1" customWidth="1"/>
    <col min="25" max="25" width="12" bestFit="1" customWidth="1"/>
    <col min="26" max="26" width="12" customWidth="1"/>
  </cols>
  <sheetData>
    <row r="1" spans="1:15" ht="15" thickBot="1">
      <c r="A1" s="22">
        <v>741.75824175824187</v>
      </c>
      <c r="B1" s="23">
        <v>0</v>
      </c>
      <c r="C1" s="23">
        <v>0</v>
      </c>
      <c r="D1" s="23">
        <v>0</v>
      </c>
      <c r="E1" s="23">
        <v>0</v>
      </c>
      <c r="F1" s="23">
        <v>0</v>
      </c>
      <c r="G1" s="23">
        <v>0</v>
      </c>
      <c r="H1" s="23">
        <v>0</v>
      </c>
      <c r="I1" t="s">
        <v>24</v>
      </c>
      <c r="J1">
        <v>0</v>
      </c>
      <c r="K1" t="s">
        <v>47</v>
      </c>
      <c r="L1" t="s">
        <v>86</v>
      </c>
      <c r="O1" s="40" t="s">
        <v>92</v>
      </c>
    </row>
    <row r="2" spans="1:15" ht="15" thickBot="1">
      <c r="A2" s="24">
        <v>0</v>
      </c>
      <c r="B2" s="25">
        <v>741.75824175824187</v>
      </c>
      <c r="C2" s="25">
        <v>0</v>
      </c>
      <c r="D2" s="25">
        <v>0</v>
      </c>
      <c r="E2" s="25">
        <v>0</v>
      </c>
      <c r="F2" s="25">
        <v>0</v>
      </c>
      <c r="G2" s="25">
        <v>0</v>
      </c>
      <c r="H2" s="25">
        <v>0</v>
      </c>
      <c r="J2">
        <v>0</v>
      </c>
    </row>
    <row r="3" spans="1:15" ht="15" thickBot="1">
      <c r="A3" s="24">
        <v>0</v>
      </c>
      <c r="B3" s="25">
        <v>0</v>
      </c>
      <c r="C3" s="25">
        <v>741.75824175824187</v>
      </c>
      <c r="D3" s="25">
        <v>0</v>
      </c>
      <c r="E3" s="25">
        <v>-192.30769230769232</v>
      </c>
      <c r="F3" s="25">
        <v>-192.30769230769232</v>
      </c>
      <c r="G3" s="25">
        <v>0</v>
      </c>
      <c r="H3" s="26">
        <v>357.14285714285717</v>
      </c>
      <c r="J3">
        <v>7.7630415615030819E-4</v>
      </c>
    </row>
    <row r="4" spans="1:15" ht="15" thickBot="1">
      <c r="A4" s="24">
        <v>0</v>
      </c>
      <c r="B4" s="25">
        <v>0</v>
      </c>
      <c r="C4" s="25">
        <v>0</v>
      </c>
      <c r="D4" s="25">
        <v>741.75824175824187</v>
      </c>
      <c r="E4" s="25">
        <v>0</v>
      </c>
      <c r="F4" s="25">
        <v>0</v>
      </c>
      <c r="G4" s="25">
        <v>0</v>
      </c>
      <c r="H4" s="25">
        <v>0</v>
      </c>
      <c r="J4">
        <v>0</v>
      </c>
    </row>
    <row r="5" spans="1:15" ht="15" thickBot="1">
      <c r="A5" s="24">
        <v>0</v>
      </c>
      <c r="B5" s="25">
        <v>0</v>
      </c>
      <c r="C5" s="25">
        <v>-192.30769230769232</v>
      </c>
      <c r="D5" s="25">
        <v>0</v>
      </c>
      <c r="E5" s="25">
        <v>741.75824175824187</v>
      </c>
      <c r="F5" s="25">
        <v>357.14285714285717</v>
      </c>
      <c r="G5" s="25">
        <v>-549.45054945054949</v>
      </c>
      <c r="H5" s="26">
        <v>-192.30769230769232</v>
      </c>
      <c r="J5">
        <v>8.5242152848687017E-5</v>
      </c>
    </row>
    <row r="6" spans="1:15" ht="15" thickBot="1">
      <c r="A6" s="24">
        <v>0</v>
      </c>
      <c r="B6" s="25">
        <v>0</v>
      </c>
      <c r="C6" s="25">
        <v>-192.30769230769232</v>
      </c>
      <c r="D6" s="25">
        <v>0</v>
      </c>
      <c r="E6" s="25">
        <v>357.14285714285717</v>
      </c>
      <c r="F6" s="25">
        <v>741.75824175824187</v>
      </c>
      <c r="G6" s="25">
        <v>-164.83516483516485</v>
      </c>
      <c r="H6" s="26">
        <v>-192.30769230769232</v>
      </c>
      <c r="J6">
        <v>-1.9241753533478389E-4</v>
      </c>
    </row>
    <row r="7" spans="1:15" ht="15" thickBot="1">
      <c r="A7" s="24">
        <v>0</v>
      </c>
      <c r="B7" s="25">
        <v>0</v>
      </c>
      <c r="C7" s="25">
        <v>0</v>
      </c>
      <c r="D7" s="25">
        <v>0</v>
      </c>
      <c r="E7" s="25">
        <v>-549.45054945054949</v>
      </c>
      <c r="F7" s="25">
        <v>-164.83516483516485</v>
      </c>
      <c r="G7" s="25">
        <v>741.75824175824187</v>
      </c>
      <c r="H7" s="26">
        <v>0</v>
      </c>
      <c r="J7">
        <v>1.1082081548827017E-5</v>
      </c>
    </row>
    <row r="8" spans="1:15">
      <c r="A8" s="27">
        <v>0</v>
      </c>
      <c r="B8" s="25">
        <v>0</v>
      </c>
      <c r="C8" s="28">
        <v>357.14285714285717</v>
      </c>
      <c r="D8" s="28">
        <v>0</v>
      </c>
      <c r="E8" s="28">
        <v>-192.30769230769232</v>
      </c>
      <c r="F8" s="28">
        <v>-192.30769230769232</v>
      </c>
      <c r="G8" s="28">
        <v>0</v>
      </c>
      <c r="H8" s="29">
        <v>741.75824175824187</v>
      </c>
      <c r="J8">
        <v>-1.8848694421522166E-4</v>
      </c>
    </row>
    <row r="9" spans="1:15">
      <c r="A9" t="s">
        <v>87</v>
      </c>
      <c r="J9" t="s">
        <v>47</v>
      </c>
      <c r="O9" t="s">
        <v>48</v>
      </c>
    </row>
    <row r="10" spans="1:15">
      <c r="A10" s="1">
        <v>741.75824175824187</v>
      </c>
      <c r="B10" s="1">
        <v>0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J10" s="1">
        <v>0</v>
      </c>
      <c r="O10" s="1">
        <v>0</v>
      </c>
    </row>
    <row r="11" spans="1:15">
      <c r="A11" s="1">
        <v>0</v>
      </c>
      <c r="B11" s="1">
        <v>741.75824175824187</v>
      </c>
      <c r="C11" s="1">
        <v>0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J11" s="1">
        <v>0</v>
      </c>
      <c r="O11" s="1">
        <v>0</v>
      </c>
    </row>
    <row r="12" spans="1:15">
      <c r="A12" s="1">
        <v>0</v>
      </c>
      <c r="B12" s="1">
        <v>0</v>
      </c>
      <c r="C12" s="1">
        <v>741.75824175824187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J12" s="1">
        <v>7.7630415615030819E-4</v>
      </c>
      <c r="O12" s="1">
        <v>1.0465730105137488E-6</v>
      </c>
    </row>
    <row r="13" spans="1:15">
      <c r="A13" s="1">
        <v>0</v>
      </c>
      <c r="B13" s="1">
        <v>0</v>
      </c>
      <c r="C13" s="1">
        <v>0</v>
      </c>
      <c r="D13" s="1">
        <v>741.75824175824187</v>
      </c>
      <c r="E13" s="1">
        <v>0</v>
      </c>
      <c r="F13" s="1">
        <v>0</v>
      </c>
      <c r="G13" s="1">
        <v>0</v>
      </c>
      <c r="H13" s="1">
        <v>0</v>
      </c>
      <c r="J13" s="1">
        <v>0</v>
      </c>
      <c r="O13" s="1">
        <v>0</v>
      </c>
    </row>
    <row r="14" spans="1:15">
      <c r="A14" s="1">
        <v>0</v>
      </c>
      <c r="B14" s="1">
        <v>0</v>
      </c>
      <c r="C14" s="1">
        <v>-192.30769230769232</v>
      </c>
      <c r="D14" s="1">
        <v>0</v>
      </c>
      <c r="E14" s="1">
        <v>741.75824175824187</v>
      </c>
      <c r="F14" s="1">
        <v>0</v>
      </c>
      <c r="G14" s="1">
        <v>0</v>
      </c>
      <c r="H14" s="1">
        <v>0</v>
      </c>
      <c r="J14" s="1">
        <v>8.5242152848687017E-5</v>
      </c>
      <c r="O14" s="1">
        <v>3.8625279397364624E-7</v>
      </c>
    </row>
    <row r="15" spans="1:15">
      <c r="A15" s="1">
        <v>0</v>
      </c>
      <c r="B15" s="1">
        <v>0</v>
      </c>
      <c r="C15" s="1">
        <v>-192.30769230769232</v>
      </c>
      <c r="D15" s="1">
        <v>0</v>
      </c>
      <c r="E15" s="1">
        <v>357.14285714285717</v>
      </c>
      <c r="F15" s="1">
        <v>741.75824175824187</v>
      </c>
      <c r="G15" s="1">
        <v>0</v>
      </c>
      <c r="H15" s="1">
        <v>0</v>
      </c>
      <c r="J15" s="1">
        <v>-1.9241753533478389E-4</v>
      </c>
      <c r="O15" s="1">
        <v>-1.740471679350849E-7</v>
      </c>
    </row>
    <row r="16" spans="1:15">
      <c r="A16" s="1">
        <v>0</v>
      </c>
      <c r="B16" s="1">
        <v>0</v>
      </c>
      <c r="C16" s="1">
        <v>0</v>
      </c>
      <c r="D16" s="1">
        <v>0</v>
      </c>
      <c r="E16" s="1">
        <v>-549.45054945054949</v>
      </c>
      <c r="F16" s="1">
        <v>-164.83516483516485</v>
      </c>
      <c r="G16" s="1">
        <v>741.75824175824187</v>
      </c>
      <c r="H16" s="1">
        <v>0</v>
      </c>
      <c r="J16" s="1">
        <v>1.1082081548827017E-5</v>
      </c>
      <c r="O16" s="1">
        <v>2.6237632000887848E-7</v>
      </c>
    </row>
    <row r="17" spans="1:26">
      <c r="A17" s="1">
        <v>0</v>
      </c>
      <c r="B17" s="1">
        <v>0</v>
      </c>
      <c r="C17" s="1">
        <v>357.14285714285717</v>
      </c>
      <c r="D17" s="1">
        <v>0</v>
      </c>
      <c r="E17" s="1">
        <v>-192.30769230769232</v>
      </c>
      <c r="F17" s="1">
        <v>-192.30769230769232</v>
      </c>
      <c r="G17" s="1">
        <v>0</v>
      </c>
      <c r="H17" s="1">
        <v>741.75824175824187</v>
      </c>
      <c r="J17" s="1">
        <v>-1.8848694421522166E-4</v>
      </c>
      <c r="O17" s="1">
        <v>-7.0299757495714339E-7</v>
      </c>
    </row>
    <row r="18" spans="1:26">
      <c r="O18" s="2" t="s">
        <v>50</v>
      </c>
    </row>
    <row r="20" spans="1:26">
      <c r="A20" t="s">
        <v>34</v>
      </c>
    </row>
    <row r="21" spans="1:26">
      <c r="A21" t="s">
        <v>35</v>
      </c>
    </row>
    <row r="22" spans="1:26">
      <c r="A22" t="s">
        <v>36</v>
      </c>
    </row>
    <row r="23" spans="1:26">
      <c r="A23" t="s">
        <v>37</v>
      </c>
    </row>
    <row r="24" spans="1:26">
      <c r="A24" t="s">
        <v>38</v>
      </c>
    </row>
    <row r="25" spans="1:26">
      <c r="A25" t="s">
        <v>39</v>
      </c>
      <c r="Z25" s="39"/>
    </row>
    <row r="26" spans="1:26">
      <c r="A26" t="s">
        <v>40</v>
      </c>
      <c r="Z26" s="39"/>
    </row>
    <row r="27" spans="1:26">
      <c r="A27" t="s">
        <v>41</v>
      </c>
      <c r="Z27" s="39"/>
    </row>
    <row r="28" spans="1:26">
      <c r="A28" t="s">
        <v>42</v>
      </c>
      <c r="Z28" s="39"/>
    </row>
    <row r="29" spans="1:26">
      <c r="A29" t="s">
        <v>43</v>
      </c>
      <c r="Z29" s="39"/>
    </row>
    <row r="30" spans="1:26">
      <c r="A30" t="s">
        <v>44</v>
      </c>
      <c r="Z30" s="39"/>
    </row>
    <row r="31" spans="1:26">
      <c r="A31" t="s">
        <v>45</v>
      </c>
      <c r="Z31" s="39"/>
    </row>
    <row r="32" spans="1:26">
      <c r="A32" t="s">
        <v>46</v>
      </c>
      <c r="X32" s="21" t="s">
        <v>53</v>
      </c>
      <c r="Z32" s="39"/>
    </row>
    <row r="33" spans="1:27">
      <c r="P33" s="21" t="s">
        <v>53</v>
      </c>
      <c r="X33" t="s">
        <v>54</v>
      </c>
    </row>
    <row r="34" spans="1:27">
      <c r="A34" s="1">
        <v>741.75824175824187</v>
      </c>
      <c r="B34" s="1">
        <v>0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>
        <v>0</v>
      </c>
      <c r="J34" s="1">
        <v>0</v>
      </c>
      <c r="L34">
        <v>0</v>
      </c>
      <c r="N34">
        <v>0</v>
      </c>
      <c r="P34">
        <v>0</v>
      </c>
      <c r="R34" s="3">
        <f>SUMPRODUCT(N34:N41, P34:P41)</f>
        <v>1.0142872650339683E-9</v>
      </c>
      <c r="S34" s="1">
        <f t="array" ref="S34:S41">MMULT(A34:H41, P34:P41)</f>
        <v>0</v>
      </c>
      <c r="T34" s="1">
        <f t="array" ref="T34">SUMPRODUCT(P34:P41, S34:S41)</f>
        <v>6.6533738875225704E-10</v>
      </c>
      <c r="U34" s="3">
        <f>R34/T34</f>
        <v>1.5244705651310468</v>
      </c>
      <c r="V34" s="6">
        <f>L34+$U$34*P34</f>
        <v>0</v>
      </c>
      <c r="W34" s="1">
        <f>N34-$U$34*S34</f>
        <v>0</v>
      </c>
      <c r="X34" s="1">
        <v>0</v>
      </c>
      <c r="Y34" s="3">
        <f>SUMPRODUCT(X34:X41, W34:W41) / R34</f>
        <v>36.969790988330935</v>
      </c>
      <c r="Z34" s="1">
        <f t="shared" ref="Z34:Z41" si="0">X34+$Y$34*P34</f>
        <v>0</v>
      </c>
      <c r="AA34" s="1">
        <f t="array" ref="AA34">SQRT(SUMSQ(W34:W41))</f>
        <v>1.2976079596037555E-4</v>
      </c>
    </row>
    <row r="35" spans="1:27">
      <c r="A35" s="1">
        <v>0</v>
      </c>
      <c r="B35" s="1">
        <v>741.75824175824187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>
        <v>0</v>
      </c>
      <c r="J35" s="1">
        <v>0</v>
      </c>
      <c r="L35">
        <v>0</v>
      </c>
      <c r="N35">
        <v>0</v>
      </c>
      <c r="P35">
        <v>0</v>
      </c>
      <c r="R35" s="2" t="s">
        <v>51</v>
      </c>
      <c r="S35" s="1">
        <v>0</v>
      </c>
      <c r="T35" s="2" t="s">
        <v>7</v>
      </c>
      <c r="U35" s="2" t="s">
        <v>8</v>
      </c>
      <c r="V35" s="6">
        <f t="shared" ref="V35:V41" si="1">L35+$U$34*P35</f>
        <v>0</v>
      </c>
      <c r="W35" s="1">
        <f t="shared" ref="W35:W41" si="2">N35-$U$34*S35</f>
        <v>0</v>
      </c>
      <c r="X35" s="1">
        <v>0</v>
      </c>
      <c r="Y35" s="2" t="s">
        <v>10</v>
      </c>
      <c r="Z35" s="1">
        <f t="shared" si="0"/>
        <v>0</v>
      </c>
      <c r="AA35" s="2" t="s">
        <v>27</v>
      </c>
    </row>
    <row r="36" spans="1:27">
      <c r="A36" s="1">
        <v>0</v>
      </c>
      <c r="B36" s="1">
        <v>0</v>
      </c>
      <c r="C36" s="1">
        <v>741.75824175824187</v>
      </c>
      <c r="D36" s="1">
        <v>0</v>
      </c>
      <c r="E36" s="1">
        <v>-192.30769230769232</v>
      </c>
      <c r="F36" s="1">
        <v>-192.30769230769232</v>
      </c>
      <c r="G36" s="1">
        <v>0</v>
      </c>
      <c r="H36" s="1">
        <v>357.14285714285717</v>
      </c>
      <c r="I36">
        <v>0</v>
      </c>
      <c r="J36" s="1">
        <v>0</v>
      </c>
      <c r="L36">
        <v>0</v>
      </c>
      <c r="N36">
        <v>7.7630415615030819E-4</v>
      </c>
      <c r="P36">
        <v>1.0465730105137488E-6</v>
      </c>
      <c r="R36" s="5" t="s">
        <v>20</v>
      </c>
      <c r="S36" s="1">
        <v>4.8442481942742935E-4</v>
      </c>
      <c r="V36" s="6">
        <f t="shared" si="1"/>
        <v>1.5954697487887956E-6</v>
      </c>
      <c r="W36" s="1">
        <f t="shared" si="2"/>
        <v>3.78127779142697E-5</v>
      </c>
      <c r="X36" s="1">
        <v>5.954819543802309E-4</v>
      </c>
      <c r="Z36" s="1">
        <f t="shared" si="0"/>
        <v>6.3417353983295246E-4</v>
      </c>
    </row>
    <row r="37" spans="1:27">
      <c r="A37" s="1">
        <v>0</v>
      </c>
      <c r="B37" s="1">
        <v>0</v>
      </c>
      <c r="C37" s="1">
        <v>0</v>
      </c>
      <c r="D37" s="1">
        <v>741.75824175824187</v>
      </c>
      <c r="E37" s="1">
        <v>0</v>
      </c>
      <c r="F37" s="1">
        <v>0</v>
      </c>
      <c r="G37" s="1">
        <v>0</v>
      </c>
      <c r="H37" s="1">
        <v>0</v>
      </c>
      <c r="I37">
        <v>5.6843418860808015E-14</v>
      </c>
      <c r="J37" s="1">
        <v>0</v>
      </c>
      <c r="L37">
        <v>0</v>
      </c>
      <c r="N37">
        <v>0</v>
      </c>
      <c r="P37">
        <v>0</v>
      </c>
      <c r="S37" s="1">
        <v>0</v>
      </c>
      <c r="V37" s="6">
        <f t="shared" si="1"/>
        <v>0</v>
      </c>
      <c r="W37" s="1">
        <f t="shared" si="2"/>
        <v>0</v>
      </c>
      <c r="X37" s="1">
        <v>0</v>
      </c>
      <c r="Z37" s="1">
        <f t="shared" si="0"/>
        <v>0</v>
      </c>
    </row>
    <row r="38" spans="1:27">
      <c r="A38" s="1">
        <v>0</v>
      </c>
      <c r="B38" s="1">
        <v>0</v>
      </c>
      <c r="C38" s="1">
        <v>-192.30769230769232</v>
      </c>
      <c r="D38" s="1">
        <v>0</v>
      </c>
      <c r="E38" s="1">
        <v>741.75824175824187</v>
      </c>
      <c r="F38" s="1">
        <v>357.14285714285717</v>
      </c>
      <c r="G38" s="1">
        <v>-549.45054945054949</v>
      </c>
      <c r="H38" s="1">
        <v>-192.30769230769232</v>
      </c>
      <c r="I38">
        <v>0</v>
      </c>
      <c r="J38" s="1">
        <v>200</v>
      </c>
      <c r="L38">
        <v>0</v>
      </c>
      <c r="N38">
        <v>8.5242152848687017E-5</v>
      </c>
      <c r="P38">
        <v>3.8625279397364624E-7</v>
      </c>
      <c r="S38" s="1">
        <v>1.4111478160948879E-5</v>
      </c>
      <c r="V38" s="6">
        <f t="shared" si="1"/>
        <v>5.8883101511245034E-7</v>
      </c>
      <c r="W38" s="1">
        <f t="shared" si="2"/>
        <v>6.3729619761830858E-5</v>
      </c>
      <c r="X38" s="1">
        <v>1.3089697586127378E-5</v>
      </c>
      <c r="Z38" s="1">
        <f t="shared" si="0"/>
        <v>2.7369382647991931E-5</v>
      </c>
    </row>
    <row r="39" spans="1:27">
      <c r="A39" s="1">
        <v>0</v>
      </c>
      <c r="B39" s="1">
        <v>0</v>
      </c>
      <c r="C39" s="1">
        <v>-192.30769230769232</v>
      </c>
      <c r="D39" s="1">
        <v>0</v>
      </c>
      <c r="E39" s="1">
        <v>357.14285714285717</v>
      </c>
      <c r="F39" s="1">
        <v>741.75824175824187</v>
      </c>
      <c r="G39" s="1">
        <v>-164.83516483516485</v>
      </c>
      <c r="H39" s="1">
        <v>-192.30769230769232</v>
      </c>
      <c r="I39">
        <v>0</v>
      </c>
      <c r="J39" s="1">
        <v>0</v>
      </c>
      <c r="L39">
        <v>0</v>
      </c>
      <c r="N39">
        <v>-1.9241753533478389E-4</v>
      </c>
      <c r="P39">
        <v>-1.740471679350849E-7</v>
      </c>
      <c r="S39" s="1">
        <v>-1.004745379543791E-4</v>
      </c>
      <c r="V39" s="6">
        <f t="shared" si="1"/>
        <v>-2.6532978446145711E-7</v>
      </c>
      <c r="W39" s="1">
        <f t="shared" si="2"/>
        <v>-3.9247059678190787E-5</v>
      </c>
      <c r="X39" s="1">
        <v>-1.5746733229073733E-4</v>
      </c>
      <c r="Z39" s="1">
        <f t="shared" si="0"/>
        <v>-1.6390181971140836E-4</v>
      </c>
    </row>
    <row r="40" spans="1:27">
      <c r="A40" s="1">
        <v>0</v>
      </c>
      <c r="B40" s="1">
        <v>0</v>
      </c>
      <c r="C40" s="1">
        <v>0</v>
      </c>
      <c r="D40" s="1">
        <v>0</v>
      </c>
      <c r="E40" s="1">
        <v>-549.45054945054949</v>
      </c>
      <c r="F40" s="1">
        <v>-164.83516483516485</v>
      </c>
      <c r="G40" s="1">
        <v>741.75824175824187</v>
      </c>
      <c r="H40" s="1">
        <v>0</v>
      </c>
      <c r="I40">
        <v>1.1368683772161603E-13</v>
      </c>
      <c r="J40" s="1">
        <v>0</v>
      </c>
      <c r="L40">
        <v>0</v>
      </c>
      <c r="N40">
        <v>1.1082081548827017E-5</v>
      </c>
      <c r="P40">
        <v>2.6237632000887848E-7</v>
      </c>
      <c r="S40" s="1">
        <v>1.1082081548827031E-5</v>
      </c>
      <c r="V40" s="6">
        <f t="shared" si="1"/>
        <v>3.9998497684093935E-7</v>
      </c>
      <c r="W40" s="1">
        <f t="shared" si="2"/>
        <v>-5.8122255727416731E-6</v>
      </c>
      <c r="X40" s="1">
        <v>-4.2853496895094669E-5</v>
      </c>
      <c r="Z40" s="1">
        <f t="shared" si="0"/>
        <v>-3.3153499184079E-5</v>
      </c>
    </row>
    <row r="41" spans="1:27">
      <c r="A41" s="1">
        <v>0</v>
      </c>
      <c r="B41" s="1">
        <v>0</v>
      </c>
      <c r="C41" s="1">
        <v>357.14285714285717</v>
      </c>
      <c r="D41" s="1">
        <v>0</v>
      </c>
      <c r="E41" s="1">
        <v>-192.30769230769232</v>
      </c>
      <c r="F41" s="1">
        <v>-192.30769230769232</v>
      </c>
      <c r="G41" s="1">
        <v>0</v>
      </c>
      <c r="H41" s="1">
        <v>741.75824175824187</v>
      </c>
      <c r="I41">
        <v>0</v>
      </c>
      <c r="J41" s="1">
        <v>-1000</v>
      </c>
      <c r="L41">
        <v>0</v>
      </c>
      <c r="N41">
        <v>-1.8848694421522166E-4</v>
      </c>
      <c r="P41">
        <v>-7.0299757495714339E-7</v>
      </c>
      <c r="S41" s="1">
        <v>-1.8848694421522161E-4</v>
      </c>
      <c r="V41" s="6">
        <f t="shared" si="1"/>
        <v>-1.0716991103806718E-6</v>
      </c>
      <c r="W41" s="1">
        <f t="shared" si="2"/>
        <v>9.8855854152381326E-5</v>
      </c>
      <c r="X41" s="1">
        <v>7.8070802537639876E-5</v>
      </c>
      <c r="Z41" s="1">
        <f t="shared" si="0"/>
        <v>5.208112912617078E-5</v>
      </c>
    </row>
    <row r="42" spans="1:27">
      <c r="A42" t="s">
        <v>0</v>
      </c>
      <c r="J42" t="s">
        <v>1</v>
      </c>
      <c r="L42" s="7" t="s">
        <v>2</v>
      </c>
      <c r="N42" t="s">
        <v>3</v>
      </c>
      <c r="P42" t="s">
        <v>88</v>
      </c>
      <c r="S42" s="2" t="s">
        <v>6</v>
      </c>
      <c r="V42" s="2" t="s">
        <v>9</v>
      </c>
      <c r="W42" s="2" t="s">
        <v>25</v>
      </c>
      <c r="X42" s="2"/>
      <c r="Z42" t="s">
        <v>11</v>
      </c>
    </row>
    <row r="43" spans="1:27">
      <c r="W43" t="s">
        <v>52</v>
      </c>
      <c r="Z43" t="s">
        <v>56</v>
      </c>
    </row>
    <row r="44" spans="1:27" ht="15">
      <c r="Y44" s="20" t="s">
        <v>55</v>
      </c>
      <c r="Z44" s="20"/>
    </row>
    <row r="45" spans="1:27">
      <c r="B45" t="s">
        <v>89</v>
      </c>
      <c r="C45" s="1" t="s">
        <v>63</v>
      </c>
      <c r="F45" s="1" t="s">
        <v>64</v>
      </c>
      <c r="I45" s="1" t="s">
        <v>65</v>
      </c>
      <c r="L45" t="s">
        <v>66</v>
      </c>
    </row>
    <row r="46" spans="1:27">
      <c r="C46" s="1" t="s">
        <v>21</v>
      </c>
      <c r="D46" t="s">
        <v>54</v>
      </c>
      <c r="E46" t="s">
        <v>90</v>
      </c>
      <c r="F46" s="1" t="s">
        <v>21</v>
      </c>
      <c r="G46" t="s">
        <v>54</v>
      </c>
      <c r="H46" t="s">
        <v>90</v>
      </c>
      <c r="I46" s="1" t="s">
        <v>21</v>
      </c>
    </row>
    <row r="47" spans="1:27">
      <c r="C47" s="6">
        <v>0</v>
      </c>
      <c r="D47" s="1">
        <v>0</v>
      </c>
      <c r="E47">
        <v>0</v>
      </c>
      <c r="F47" s="6">
        <v>0</v>
      </c>
      <c r="G47" s="1">
        <v>0</v>
      </c>
      <c r="H47" s="1">
        <v>0</v>
      </c>
      <c r="I47" s="6">
        <v>0</v>
      </c>
      <c r="J47" t="s">
        <v>91</v>
      </c>
      <c r="L47" s="1">
        <v>0</v>
      </c>
    </row>
    <row r="48" spans="1:27">
      <c r="C48" s="6">
        <v>0</v>
      </c>
      <c r="D48" s="1">
        <v>0</v>
      </c>
      <c r="E48">
        <v>0</v>
      </c>
      <c r="F48" s="6">
        <v>0</v>
      </c>
      <c r="G48" s="1">
        <v>0</v>
      </c>
      <c r="H48" s="1">
        <v>0</v>
      </c>
      <c r="I48" s="6">
        <v>0</v>
      </c>
      <c r="L48" s="1">
        <v>0</v>
      </c>
    </row>
    <row r="49" spans="3:12">
      <c r="C49" s="6">
        <v>0</v>
      </c>
      <c r="D49" s="1">
        <v>0.66735940649964076</v>
      </c>
      <c r="E49">
        <v>0.66735940649964076</v>
      </c>
      <c r="F49" s="6">
        <v>1.2842262382697324E-3</v>
      </c>
      <c r="G49" s="1">
        <v>5.954819543802309E-4</v>
      </c>
      <c r="H49" s="1">
        <v>7.7630415615030819E-4</v>
      </c>
      <c r="I49" s="6">
        <v>1.5954697487887956E-6</v>
      </c>
      <c r="L49" s="1">
        <v>0.83799999999999975</v>
      </c>
    </row>
    <row r="50" spans="3:12">
      <c r="C50" s="6">
        <v>0</v>
      </c>
      <c r="D50" s="1">
        <v>0</v>
      </c>
      <c r="E50">
        <v>0</v>
      </c>
      <c r="F50" s="6">
        <v>0</v>
      </c>
      <c r="G50" s="1">
        <v>0</v>
      </c>
      <c r="H50" s="1">
        <v>0</v>
      </c>
      <c r="I50" s="6">
        <v>0</v>
      </c>
      <c r="L50" s="1">
        <v>0</v>
      </c>
    </row>
    <row r="51" spans="3:12">
      <c r="C51" s="6">
        <v>0.26941024259352364</v>
      </c>
      <c r="D51" s="1">
        <v>2.2320576719156129E-2</v>
      </c>
      <c r="E51">
        <v>9.3273524886442277E-2</v>
      </c>
      <c r="F51" s="6">
        <v>5.124374954884308E-4</v>
      </c>
      <c r="G51" s="1">
        <v>1.3089697586127378E-5</v>
      </c>
      <c r="H51" s="1">
        <v>8.5242152848687017E-5</v>
      </c>
      <c r="I51" s="6">
        <v>5.8883101511245034E-7</v>
      </c>
      <c r="L51" s="1">
        <v>0.31800000000000006</v>
      </c>
    </row>
    <row r="52" spans="3:12">
      <c r="C52" s="6">
        <v>-0.12971604273021506</v>
      </c>
      <c r="D52" s="1">
        <v>-0.13963210766067799</v>
      </c>
      <c r="E52">
        <v>-0.17379463825974167</v>
      </c>
      <c r="F52" s="6">
        <v>-2.4822155323100768E-4</v>
      </c>
      <c r="G52" s="1">
        <v>-1.5746733229073733E-4</v>
      </c>
      <c r="H52" s="1">
        <v>-1.9241753533478389E-4</v>
      </c>
      <c r="I52" s="6">
        <v>-2.6532978446145711E-7</v>
      </c>
      <c r="L52" s="1">
        <v>-0.35799999999999998</v>
      </c>
    </row>
    <row r="53" spans="3:12">
      <c r="C53" s="6">
        <v>0.17073735538848822</v>
      </c>
      <c r="D53" s="1">
        <v>-1.4495596725220215E-2</v>
      </c>
      <c r="E53">
        <v>3.0470469191496104E-2</v>
      </c>
      <c r="F53" s="6">
        <v>3.8305852011476699E-4</v>
      </c>
      <c r="G53" s="1">
        <v>-4.2853496895094669E-5</v>
      </c>
      <c r="H53" s="1">
        <v>1.1082081548827017E-5</v>
      </c>
      <c r="I53" s="6">
        <v>3.9998497684093935E-7</v>
      </c>
      <c r="L53" s="1">
        <v>0.15600000000000014</v>
      </c>
    </row>
    <row r="54" spans="3:12">
      <c r="C54" s="6">
        <v>-1.3108341981882417</v>
      </c>
      <c r="D54" s="1">
        <v>-0.35283223151704779</v>
      </c>
      <c r="E54">
        <v>-0.69805871594690228</v>
      </c>
      <c r="F54" s="6">
        <v>-1.8931328622430867E-3</v>
      </c>
      <c r="G54" s="1">
        <v>7.8070802537639876E-5</v>
      </c>
      <c r="H54" s="1">
        <v>-1.8848694421522166E-4</v>
      </c>
      <c r="I54" s="6">
        <v>-1.0716991103806718E-6</v>
      </c>
      <c r="L54" s="1">
        <v>-1.7619999999999996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C9"/>
  <sheetViews>
    <sheetView workbookViewId="0">
      <selection activeCell="AC8" sqref="A1:AC8"/>
    </sheetView>
  </sheetViews>
  <sheetFormatPr defaultRowHeight="14.4"/>
  <sheetData>
    <row r="1" spans="1:29">
      <c r="A1" s="1">
        <v>741.75824175824187</v>
      </c>
      <c r="B1" s="1">
        <v>0</v>
      </c>
      <c r="C1" s="1">
        <v>0</v>
      </c>
      <c r="D1" s="1">
        <v>0</v>
      </c>
      <c r="E1" s="1">
        <v>0</v>
      </c>
      <c r="F1" s="1">
        <v>0</v>
      </c>
      <c r="G1" s="1">
        <v>0</v>
      </c>
      <c r="H1" s="1">
        <v>0</v>
      </c>
      <c r="I1">
        <v>0</v>
      </c>
      <c r="J1" s="1">
        <v>0</v>
      </c>
      <c r="L1">
        <v>0</v>
      </c>
      <c r="N1" s="1">
        <f t="array" ref="N1:N8">J1:J8-MMULT(A1:H8,L1:L8)</f>
        <v>0</v>
      </c>
      <c r="P1" s="8">
        <f>N1</f>
        <v>0</v>
      </c>
      <c r="R1" s="3">
        <f t="array" ref="R1">SUMPRODUCT(N1:N8, N1:N8)</f>
        <v>1040000</v>
      </c>
      <c r="S1" s="1">
        <f t="array" ref="S1:S8">MMULT(A1:H8, P1:P8)</f>
        <v>0</v>
      </c>
      <c r="T1" s="1">
        <f>SUMPRODUCT(P1:P8, S1:S8)</f>
        <v>848351648.35164857</v>
      </c>
      <c r="U1" s="3">
        <f t="array" ref="U1">R1/T1</f>
        <v>1.2259067357512951E-3</v>
      </c>
      <c r="V1" s="6">
        <f t="array" ref="V1">L1+$U$1*P1</f>
        <v>0</v>
      </c>
      <c r="W1" s="1">
        <f t="array" ref="W1">N1-$U$1*S1</f>
        <v>0</v>
      </c>
      <c r="X1" s="3">
        <f>SUMPRODUCT(W1:W8, W1:W8) / R1</f>
        <v>0.39147359660662018</v>
      </c>
      <c r="Y1" s="1">
        <f t="array" ref="Y1:Y8">W1:W8 + X1*P1:P8</f>
        <v>0</v>
      </c>
      <c r="Z1" s="1">
        <f t="array" ref="Z1">SQRT(SUMSQ(N1:N8))</f>
        <v>1019.803902718557</v>
      </c>
      <c r="AB1" s="1">
        <f t="array" ref="AB1:AB8">J1:J8-MMULT(A1:H8,V1:V8)</f>
        <v>0</v>
      </c>
      <c r="AC1" s="1">
        <f t="array" ref="AC1">SQRT(SUMSQ(AB1:AB8))</f>
        <v>638.06938531078652</v>
      </c>
    </row>
    <row r="2" spans="1:29">
      <c r="A2" s="1">
        <v>0</v>
      </c>
      <c r="B2" s="1">
        <v>741.75824175824187</v>
      </c>
      <c r="C2" s="1">
        <v>0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>
        <v>0</v>
      </c>
      <c r="J2" s="1">
        <v>0</v>
      </c>
      <c r="L2">
        <v>0</v>
      </c>
      <c r="N2" s="1">
        <v>0</v>
      </c>
      <c r="P2" s="8">
        <f t="shared" ref="P2:P8" si="0">N2</f>
        <v>0</v>
      </c>
      <c r="R2" s="2" t="s">
        <v>5</v>
      </c>
      <c r="S2" s="1">
        <v>0</v>
      </c>
      <c r="T2" s="2" t="s">
        <v>7</v>
      </c>
      <c r="U2" s="2" t="s">
        <v>8</v>
      </c>
      <c r="V2" s="6">
        <f t="shared" ref="V2:V8" si="1">L2+$U$1*P2</f>
        <v>0</v>
      </c>
      <c r="W2" s="1">
        <f t="shared" ref="W2:W8" si="2">N2-$U$1*S2</f>
        <v>0</v>
      </c>
      <c r="X2" s="2" t="s">
        <v>10</v>
      </c>
      <c r="Y2" s="1">
        <v>0</v>
      </c>
      <c r="Z2" s="2" t="s">
        <v>27</v>
      </c>
      <c r="AB2" s="1">
        <v>0</v>
      </c>
    </row>
    <row r="3" spans="1:29">
      <c r="A3" s="1">
        <v>0</v>
      </c>
      <c r="B3" s="1">
        <v>0</v>
      </c>
      <c r="C3" s="1">
        <v>741.75824175824187</v>
      </c>
      <c r="D3" s="1">
        <v>0</v>
      </c>
      <c r="E3" s="1">
        <v>-192.30769230769232</v>
      </c>
      <c r="F3" s="1">
        <v>-192.30769230769232</v>
      </c>
      <c r="G3" s="1">
        <v>0</v>
      </c>
      <c r="H3" s="1">
        <v>357.14285714285717</v>
      </c>
      <c r="I3">
        <v>0</v>
      </c>
      <c r="J3" s="1">
        <v>0</v>
      </c>
      <c r="L3">
        <v>0</v>
      </c>
      <c r="N3" s="1">
        <v>0</v>
      </c>
      <c r="P3" s="8">
        <f t="shared" si="0"/>
        <v>0</v>
      </c>
      <c r="R3" s="5" t="s">
        <v>20</v>
      </c>
      <c r="S3" s="1">
        <v>-395604.3956043956</v>
      </c>
      <c r="V3" s="6">
        <f t="shared" si="1"/>
        <v>0</v>
      </c>
      <c r="W3" s="1">
        <f t="shared" si="2"/>
        <v>484.97409326424861</v>
      </c>
      <c r="Y3" s="1">
        <v>484.97409326424861</v>
      </c>
      <c r="AB3" s="1">
        <v>484.97409326424867</v>
      </c>
    </row>
    <row r="4" spans="1:29">
      <c r="A4" s="1">
        <v>0</v>
      </c>
      <c r="B4" s="1">
        <v>0</v>
      </c>
      <c r="C4" s="1">
        <v>0</v>
      </c>
      <c r="D4" s="1">
        <v>741.75824175824187</v>
      </c>
      <c r="E4" s="1">
        <v>0</v>
      </c>
      <c r="F4" s="1">
        <v>0</v>
      </c>
      <c r="G4" s="1">
        <v>0</v>
      </c>
      <c r="H4" s="1">
        <v>0</v>
      </c>
      <c r="I4">
        <v>5.6843418860808015E-14</v>
      </c>
      <c r="J4" s="1">
        <v>0</v>
      </c>
      <c r="L4">
        <v>0</v>
      </c>
      <c r="N4" s="1">
        <v>0</v>
      </c>
      <c r="P4" s="8">
        <f t="shared" si="0"/>
        <v>0</v>
      </c>
      <c r="S4" s="1">
        <v>0</v>
      </c>
      <c r="V4" s="6">
        <f t="shared" si="1"/>
        <v>0</v>
      </c>
      <c r="W4" s="1">
        <f t="shared" si="2"/>
        <v>0</v>
      </c>
      <c r="Y4" s="1">
        <v>0</v>
      </c>
      <c r="AB4" s="1">
        <v>0</v>
      </c>
    </row>
    <row r="5" spans="1:29">
      <c r="A5" s="1">
        <v>0</v>
      </c>
      <c r="B5" s="1">
        <v>0</v>
      </c>
      <c r="C5" s="1">
        <v>-192.30769230769232</v>
      </c>
      <c r="D5" s="1">
        <v>0</v>
      </c>
      <c r="E5" s="1">
        <v>741.75824175824187</v>
      </c>
      <c r="F5" s="1">
        <v>357.14285714285717</v>
      </c>
      <c r="G5" s="1">
        <v>-549.45054945054949</v>
      </c>
      <c r="H5" s="1">
        <v>-192.30769230769232</v>
      </c>
      <c r="I5">
        <v>0</v>
      </c>
      <c r="J5" s="1">
        <v>200</v>
      </c>
      <c r="L5">
        <v>0</v>
      </c>
      <c r="N5" s="1">
        <v>200</v>
      </c>
      <c r="P5" s="8">
        <f t="shared" si="0"/>
        <v>200</v>
      </c>
      <c r="S5" s="1">
        <v>340659.34065934073</v>
      </c>
      <c r="V5" s="6">
        <f t="shared" si="1"/>
        <v>0.24518134715025902</v>
      </c>
      <c r="W5" s="1">
        <f t="shared" si="2"/>
        <v>-217.61658031088081</v>
      </c>
      <c r="Y5" s="1">
        <v>-139.32186098955677</v>
      </c>
      <c r="AB5" s="1">
        <v>-217.61658031088075</v>
      </c>
    </row>
    <row r="6" spans="1:29">
      <c r="A6" s="1">
        <v>0</v>
      </c>
      <c r="B6" s="1">
        <v>0</v>
      </c>
      <c r="C6" s="1">
        <v>-192.30769230769232</v>
      </c>
      <c r="D6" s="1">
        <v>0</v>
      </c>
      <c r="E6" s="1">
        <v>357.14285714285717</v>
      </c>
      <c r="F6" s="1">
        <v>741.75824175824187</v>
      </c>
      <c r="G6" s="1">
        <v>-164.83516483516485</v>
      </c>
      <c r="H6" s="1">
        <v>-192.30769230769232</v>
      </c>
      <c r="I6">
        <v>0</v>
      </c>
      <c r="J6" s="1">
        <v>0</v>
      </c>
      <c r="L6">
        <v>0</v>
      </c>
      <c r="N6" s="1">
        <v>0</v>
      </c>
      <c r="P6" s="8">
        <f t="shared" si="0"/>
        <v>0</v>
      </c>
      <c r="S6" s="1">
        <v>263736.26373626373</v>
      </c>
      <c r="V6" s="6">
        <f t="shared" si="1"/>
        <v>0</v>
      </c>
      <c r="W6" s="1">
        <f t="shared" si="2"/>
        <v>-323.31606217616576</v>
      </c>
      <c r="Y6" s="1">
        <v>-323.31606217616576</v>
      </c>
      <c r="AB6" s="1">
        <v>-323.31606217616576</v>
      </c>
    </row>
    <row r="7" spans="1:29">
      <c r="A7" s="1">
        <v>0</v>
      </c>
      <c r="B7" s="1">
        <v>0</v>
      </c>
      <c r="C7" s="1">
        <v>0</v>
      </c>
      <c r="D7" s="1">
        <v>0</v>
      </c>
      <c r="E7" s="1">
        <v>-549.45054945054949</v>
      </c>
      <c r="F7" s="1">
        <v>-164.83516483516485</v>
      </c>
      <c r="G7" s="1">
        <v>741.75824175824187</v>
      </c>
      <c r="H7" s="1">
        <v>0</v>
      </c>
      <c r="I7">
        <v>1.1368683772161603E-13</v>
      </c>
      <c r="J7" s="1">
        <v>0</v>
      </c>
      <c r="L7">
        <v>0</v>
      </c>
      <c r="N7" s="1">
        <v>0</v>
      </c>
      <c r="P7" s="8">
        <f t="shared" si="0"/>
        <v>0</v>
      </c>
      <c r="S7" s="1">
        <v>-109890.1098901099</v>
      </c>
      <c r="V7" s="6">
        <f t="shared" si="1"/>
        <v>0</v>
      </c>
      <c r="W7" s="1">
        <f t="shared" si="2"/>
        <v>134.71502590673575</v>
      </c>
      <c r="Y7" s="1">
        <v>134.71502590673575</v>
      </c>
      <c r="AB7" s="1">
        <v>134.71502590673575</v>
      </c>
    </row>
    <row r="8" spans="1:29">
      <c r="A8" s="1">
        <v>0</v>
      </c>
      <c r="B8" s="1">
        <v>0</v>
      </c>
      <c r="C8" s="1">
        <v>357.14285714285717</v>
      </c>
      <c r="D8" s="1">
        <v>0</v>
      </c>
      <c r="E8" s="1">
        <v>-192.30769230769232</v>
      </c>
      <c r="F8" s="1">
        <v>-192.30769230769232</v>
      </c>
      <c r="G8" s="1">
        <v>0</v>
      </c>
      <c r="H8" s="1">
        <v>741.75824175824187</v>
      </c>
      <c r="I8">
        <v>0</v>
      </c>
      <c r="J8" s="1">
        <v>-1000</v>
      </c>
      <c r="L8">
        <v>0</v>
      </c>
      <c r="N8" s="1">
        <v>-1000</v>
      </c>
      <c r="P8" s="8">
        <f t="shared" si="0"/>
        <v>-1000</v>
      </c>
      <c r="S8" s="1">
        <v>-780219.7802197804</v>
      </c>
      <c r="V8" s="6">
        <f t="shared" si="1"/>
        <v>-1.2259067357512952</v>
      </c>
      <c r="W8" s="1">
        <f t="shared" si="2"/>
        <v>-43.52331606217615</v>
      </c>
      <c r="Y8" s="1">
        <v>-434.99691266879631</v>
      </c>
      <c r="AB8" s="1">
        <v>-43.52331606217615</v>
      </c>
    </row>
    <row r="9" spans="1:29">
      <c r="A9" t="s">
        <v>0</v>
      </c>
      <c r="J9" t="s">
        <v>1</v>
      </c>
      <c r="L9" s="7" t="s">
        <v>2</v>
      </c>
      <c r="N9" t="s">
        <v>3</v>
      </c>
      <c r="P9" t="s">
        <v>4</v>
      </c>
      <c r="S9" s="2" t="s">
        <v>6</v>
      </c>
      <c r="V9" s="2" t="s">
        <v>9</v>
      </c>
      <c r="W9" s="2" t="s">
        <v>25</v>
      </c>
      <c r="Y9" s="2" t="s">
        <v>11</v>
      </c>
      <c r="AB9" t="s">
        <v>57</v>
      </c>
      <c r="AC9" s="2" t="s">
        <v>58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расчет</vt:lpstr>
      <vt:lpstr>IC(0)+PCG</vt:lpstr>
      <vt:lpstr>проверка на ПО (по Холецкому)</vt:lpstr>
      <vt:lpstr>LDLT_Result</vt:lpstr>
      <vt:lpstr>проверка на ПО (LDLT)</vt:lpstr>
      <vt:lpstr>BICGSTAB</vt:lpstr>
      <vt:lpstr>ILU0 (не подходит для CG)</vt:lpstr>
      <vt:lpstr>IC(0)+PCG (копия)</vt:lpstr>
      <vt:lpstr>точное решение</vt:lpstr>
      <vt:lpstr>пред Якоби</vt:lpstr>
      <vt:lpstr>pred G-Z (не подходит)</vt:lpstr>
      <vt:lpstr>1 приближение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2026-07-15T07:44:46Z</dcterms:modified>
</cp:coreProperties>
</file>